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Maryam Nasser\Desktop\sem5\Operations Management\Project\"/>
    </mc:Choice>
  </mc:AlternateContent>
  <xr:revisionPtr revIDLastSave="0" documentId="13_ncr:1_{7EF99580-42AD-488D-ACE1-164F841893DB}" xr6:coauthVersionLast="47" xr6:coauthVersionMax="47" xr10:uidLastSave="{00000000-0000-0000-0000-000000000000}"/>
  <bookViews>
    <workbookView xWindow="0" yWindow="360" windowWidth="23256" windowHeight="12456" firstSheet="1" activeTab="2" xr2:uid="{00000000-000D-0000-FFFF-FFFF00000000}"/>
  </bookViews>
  <sheets>
    <sheet name="GreenBean" sheetId="1" r:id="rId1"/>
    <sheet name="Sheet1" sheetId="2" r:id="rId2"/>
    <sheet name="Sheet2" sheetId="3" r:id="rId3"/>
    <sheet name="Sheet3" sheetId="4" r:id="rId4"/>
  </sheets>
  <definedNames>
    <definedName name="_xlnm._FilterDatabase" localSheetId="0" hidden="1">GreenBean!$A$1:$K$37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 i="3" l="1"/>
  <c r="O5" i="3"/>
  <c r="O6" i="3"/>
  <c r="O7" i="3"/>
  <c r="O8" i="3"/>
  <c r="O9" i="3"/>
  <c r="O10" i="3"/>
  <c r="O11" i="3"/>
  <c r="O12" i="3"/>
  <c r="O13" i="3"/>
  <c r="O14" i="3"/>
  <c r="N4" i="3"/>
  <c r="N5" i="3"/>
  <c r="N6" i="3"/>
  <c r="N7" i="3"/>
  <c r="N8" i="3"/>
  <c r="N9" i="3"/>
  <c r="N10" i="3"/>
  <c r="N11" i="3"/>
  <c r="N12" i="3"/>
  <c r="N13" i="3"/>
  <c r="N14" i="3"/>
  <c r="M4" i="3"/>
  <c r="M5" i="3"/>
  <c r="M6" i="3"/>
  <c r="M7" i="3"/>
  <c r="M8" i="3"/>
  <c r="M9" i="3"/>
  <c r="M10" i="3"/>
  <c r="M11" i="3"/>
  <c r="M12" i="3"/>
  <c r="M13" i="3"/>
  <c r="M14" i="3"/>
  <c r="O3" i="3"/>
  <c r="N3" i="3"/>
  <c r="M3" i="3"/>
  <c r="Q6" i="3"/>
  <c r="Q5" i="2"/>
  <c r="R5" i="2" s="1"/>
  <c r="R6" i="3"/>
  <c r="M3" i="2"/>
  <c r="L4" i="3"/>
  <c r="L5" i="3"/>
  <c r="L6" i="3"/>
  <c r="L7" i="3"/>
  <c r="L8" i="3"/>
  <c r="L9" i="3"/>
  <c r="L10" i="3"/>
  <c r="L11" i="3"/>
  <c r="L12" i="3"/>
  <c r="L13" i="3"/>
  <c r="L14" i="3"/>
  <c r="L3" i="3"/>
  <c r="C68" i="3"/>
  <c r="C67" i="3"/>
  <c r="O4" i="4"/>
  <c r="O5" i="4"/>
  <c r="O6" i="4"/>
  <c r="O7" i="4"/>
  <c r="O8" i="4"/>
  <c r="O9" i="4"/>
  <c r="O10" i="4"/>
  <c r="O11" i="4"/>
  <c r="O12" i="4"/>
  <c r="O13" i="4"/>
  <c r="O14" i="4"/>
  <c r="O3" i="4"/>
  <c r="N4" i="4"/>
  <c r="N5" i="4"/>
  <c r="N6" i="4"/>
  <c r="N7" i="4"/>
  <c r="N8" i="4"/>
  <c r="N9" i="4"/>
  <c r="N10" i="4"/>
  <c r="N11" i="4"/>
  <c r="N12" i="4"/>
  <c r="N13" i="4"/>
  <c r="N14" i="4"/>
  <c r="N3" i="4"/>
  <c r="U8" i="4"/>
  <c r="U7" i="4"/>
  <c r="U6" i="4"/>
  <c r="T6" i="4"/>
  <c r="T8" i="4"/>
  <c r="T7" i="4"/>
  <c r="M4" i="4"/>
  <c r="M5" i="4"/>
  <c r="M6" i="4"/>
  <c r="M7" i="4"/>
  <c r="M8" i="4"/>
  <c r="M9" i="4"/>
  <c r="M10" i="4"/>
  <c r="M11" i="4"/>
  <c r="M12" i="4"/>
  <c r="M13" i="4"/>
  <c r="M14" i="4"/>
  <c r="M3" i="4"/>
  <c r="S6" i="4"/>
  <c r="R7" i="3" l="1"/>
  <c r="R8" i="3" s="1"/>
  <c r="S6" i="3"/>
  <c r="S7" i="3" s="1"/>
  <c r="S8" i="3" s="1"/>
  <c r="L4" i="4"/>
  <c r="L5" i="4"/>
  <c r="L6" i="4"/>
  <c r="L7" i="4"/>
  <c r="L8" i="4"/>
  <c r="L9" i="4"/>
  <c r="L10" i="4"/>
  <c r="L11" i="4"/>
  <c r="L12" i="4"/>
  <c r="L13" i="4"/>
  <c r="L14" i="4"/>
  <c r="L3" i="4"/>
  <c r="L3" i="2"/>
  <c r="C68" i="4"/>
  <c r="C67" i="4"/>
  <c r="E40" i="4"/>
  <c r="G40" i="4" s="1"/>
  <c r="F40" i="4"/>
  <c r="M4" i="2"/>
  <c r="M5" i="2"/>
  <c r="M6" i="2"/>
  <c r="M7" i="2"/>
  <c r="M8" i="2"/>
  <c r="M9" i="2"/>
  <c r="M10" i="2"/>
  <c r="M11" i="2"/>
  <c r="M12" i="2"/>
  <c r="M13" i="2"/>
  <c r="M14" i="2"/>
  <c r="S5" i="2"/>
  <c r="S6" i="2" s="1"/>
  <c r="S7" i="2" s="1"/>
  <c r="R6" i="2"/>
  <c r="R7" i="2" s="1"/>
  <c r="O10" i="2" l="1"/>
  <c r="O13" i="2"/>
  <c r="O6" i="2"/>
  <c r="O3" i="2"/>
  <c r="O11" i="2"/>
  <c r="O8" i="2"/>
  <c r="O4" i="2"/>
  <c r="O12" i="2"/>
  <c r="O5" i="2"/>
  <c r="O14" i="2"/>
  <c r="O7" i="2"/>
  <c r="O9" i="2"/>
  <c r="N6" i="2"/>
  <c r="N14" i="2"/>
  <c r="N4" i="2"/>
  <c r="N13" i="2"/>
  <c r="N7" i="2"/>
  <c r="N3" i="2"/>
  <c r="N11" i="2"/>
  <c r="N8" i="2"/>
  <c r="N9" i="2"/>
  <c r="N12" i="2"/>
  <c r="N10" i="2"/>
  <c r="N5" i="2"/>
  <c r="L4" i="2"/>
  <c r="L5" i="2"/>
  <c r="L6" i="2"/>
  <c r="L7" i="2"/>
  <c r="L8" i="2"/>
  <c r="L9" i="2"/>
  <c r="L10" i="2"/>
  <c r="L11" i="2"/>
  <c r="L12" i="2"/>
  <c r="L13" i="2"/>
  <c r="L14" i="2"/>
  <c r="C68" i="2" l="1"/>
  <c r="C67" i="2"/>
  <c r="B68" i="2" l="1"/>
  <c r="B67" i="2"/>
  <c r="B68" i="4"/>
  <c r="B67" i="4"/>
  <c r="H41" i="4"/>
  <c r="H42" i="4"/>
  <c r="H43" i="4"/>
  <c r="H44" i="4"/>
  <c r="H45" i="4"/>
  <c r="H46" i="4"/>
  <c r="H47" i="4"/>
  <c r="H48" i="4"/>
  <c r="G41" i="4"/>
  <c r="G42" i="4"/>
  <c r="G43" i="4"/>
  <c r="G44" i="4"/>
  <c r="G45" i="4"/>
  <c r="G46" i="4"/>
  <c r="G47" i="4"/>
  <c r="G48" i="4"/>
  <c r="H40" i="4"/>
  <c r="F41" i="4"/>
  <c r="F42" i="4"/>
  <c r="F43" i="4"/>
  <c r="F44" i="4"/>
  <c r="F45" i="4"/>
  <c r="F46" i="4"/>
  <c r="F47" i="4"/>
  <c r="F48" i="4"/>
  <c r="E41" i="4"/>
  <c r="E42" i="4"/>
  <c r="E43" i="4"/>
  <c r="E44" i="4"/>
  <c r="E45" i="4"/>
  <c r="E46" i="4"/>
  <c r="E47" i="4"/>
  <c r="E48" i="4"/>
  <c r="D40" i="4"/>
  <c r="D41" i="4"/>
  <c r="D42" i="4"/>
  <c r="D43" i="4"/>
  <c r="D44" i="4"/>
  <c r="D45" i="4"/>
  <c r="D46" i="4"/>
  <c r="D47" i="4"/>
  <c r="D48" i="4"/>
  <c r="G60" i="4"/>
  <c r="G60" i="2"/>
  <c r="G59" i="4"/>
  <c r="G59" i="2"/>
  <c r="G56" i="4"/>
  <c r="G55" i="4"/>
  <c r="G54" i="4"/>
  <c r="G53" i="4"/>
  <c r="G52" i="4"/>
  <c r="G51" i="4"/>
  <c r="D53" i="4"/>
  <c r="D54" i="4"/>
  <c r="D55" i="4"/>
  <c r="D56" i="4"/>
  <c r="D57" i="4"/>
  <c r="D58" i="4"/>
  <c r="D59" i="4"/>
  <c r="D60" i="4"/>
  <c r="D61" i="4"/>
  <c r="D62" i="4"/>
  <c r="D63" i="4"/>
  <c r="D52" i="4"/>
  <c r="C53" i="4"/>
  <c r="C54" i="4"/>
  <c r="C55" i="4"/>
  <c r="C56" i="4"/>
  <c r="C57" i="4"/>
  <c r="C58" i="4"/>
  <c r="C59" i="4"/>
  <c r="C60" i="4"/>
  <c r="C61" i="4"/>
  <c r="C62" i="4"/>
  <c r="C63" i="4"/>
  <c r="C52" i="4"/>
  <c r="H24" i="4"/>
  <c r="H25" i="4"/>
  <c r="H26" i="4"/>
  <c r="H27" i="4"/>
  <c r="H28" i="4"/>
  <c r="H29" i="4"/>
  <c r="H30" i="4"/>
  <c r="H31" i="4"/>
  <c r="H23" i="4"/>
  <c r="G24" i="4"/>
  <c r="G25" i="4"/>
  <c r="G26" i="4"/>
  <c r="G27" i="4"/>
  <c r="G28" i="4"/>
  <c r="G29" i="4"/>
  <c r="G30" i="4"/>
  <c r="G31" i="4"/>
  <c r="G23" i="4"/>
  <c r="F24" i="4"/>
  <c r="F25" i="4"/>
  <c r="F26" i="4"/>
  <c r="F27" i="4"/>
  <c r="F28" i="4"/>
  <c r="F29" i="4"/>
  <c r="F30" i="4"/>
  <c r="F31" i="4"/>
  <c r="F23" i="4"/>
  <c r="E24" i="4"/>
  <c r="E25" i="4"/>
  <c r="E26" i="4"/>
  <c r="E27" i="4"/>
  <c r="E28" i="4"/>
  <c r="E29" i="4"/>
  <c r="E30" i="4"/>
  <c r="E31" i="4"/>
  <c r="E23" i="4"/>
  <c r="D24" i="4"/>
  <c r="D25" i="4"/>
  <c r="D26" i="4"/>
  <c r="D27" i="4"/>
  <c r="D28" i="4"/>
  <c r="D29" i="4"/>
  <c r="D30" i="4"/>
  <c r="D31" i="4"/>
  <c r="D23" i="4"/>
  <c r="G60" i="3" l="1"/>
  <c r="H38" i="3"/>
  <c r="H39" i="3"/>
  <c r="H40" i="3"/>
  <c r="H41" i="3"/>
  <c r="H42" i="3"/>
  <c r="H43" i="3"/>
  <c r="H44" i="3"/>
  <c r="H45" i="3"/>
  <c r="H46" i="3"/>
  <c r="H47" i="3"/>
  <c r="H48" i="3"/>
  <c r="H37" i="3"/>
  <c r="G38" i="3"/>
  <c r="G39" i="3"/>
  <c r="G40" i="3"/>
  <c r="G41" i="3"/>
  <c r="G42" i="3"/>
  <c r="G43" i="3"/>
  <c r="G44" i="3"/>
  <c r="G45" i="3"/>
  <c r="G46" i="3"/>
  <c r="G47" i="3"/>
  <c r="G48" i="3"/>
  <c r="G37" i="3"/>
  <c r="F38" i="3"/>
  <c r="F39" i="3"/>
  <c r="F40" i="3"/>
  <c r="F41" i="3"/>
  <c r="F42" i="3"/>
  <c r="F43" i="3"/>
  <c r="F44" i="3"/>
  <c r="F45" i="3"/>
  <c r="F46" i="3"/>
  <c r="F47" i="3"/>
  <c r="F48" i="3"/>
  <c r="F37" i="3"/>
  <c r="E38" i="3"/>
  <c r="E39" i="3"/>
  <c r="E40" i="3"/>
  <c r="E41" i="3"/>
  <c r="E42" i="3"/>
  <c r="E43" i="3"/>
  <c r="E44" i="3"/>
  <c r="E45" i="3"/>
  <c r="E46" i="3"/>
  <c r="E47" i="3"/>
  <c r="E48" i="3"/>
  <c r="E37" i="3"/>
  <c r="D37" i="3"/>
  <c r="G59" i="3"/>
  <c r="G53" i="3"/>
  <c r="G52" i="3"/>
  <c r="G56" i="3" s="1"/>
  <c r="D53" i="3"/>
  <c r="D54" i="3"/>
  <c r="D55" i="3"/>
  <c r="D56" i="3"/>
  <c r="D57" i="3"/>
  <c r="D58" i="3"/>
  <c r="D59" i="3"/>
  <c r="D60" i="3"/>
  <c r="D61" i="3"/>
  <c r="D62" i="3"/>
  <c r="D63" i="3"/>
  <c r="D52" i="3"/>
  <c r="C53" i="3"/>
  <c r="C54" i="3"/>
  <c r="C55" i="3"/>
  <c r="C56" i="3"/>
  <c r="C57" i="3"/>
  <c r="C58" i="3"/>
  <c r="C59" i="3"/>
  <c r="C60" i="3"/>
  <c r="C61" i="3"/>
  <c r="C62" i="3"/>
  <c r="C63" i="3"/>
  <c r="C52" i="3"/>
  <c r="D24" i="3"/>
  <c r="E24" i="3" s="1"/>
  <c r="G24" i="3" s="1"/>
  <c r="D25" i="3"/>
  <c r="E25" i="3" s="1"/>
  <c r="G25" i="3" s="1"/>
  <c r="D26" i="3"/>
  <c r="E26" i="3" s="1"/>
  <c r="D27" i="3"/>
  <c r="E27" i="3" s="1"/>
  <c r="D28" i="3"/>
  <c r="E28" i="3" s="1"/>
  <c r="G28" i="3" s="1"/>
  <c r="D29" i="3"/>
  <c r="E29" i="3" s="1"/>
  <c r="G29" i="3" s="1"/>
  <c r="D30" i="3"/>
  <c r="E30" i="3" s="1"/>
  <c r="D31" i="3"/>
  <c r="E31" i="3" s="1"/>
  <c r="D23" i="3"/>
  <c r="E23" i="3" s="1"/>
  <c r="G23" i="3" s="1"/>
  <c r="H40" i="2"/>
  <c r="H41" i="2"/>
  <c r="H42" i="2"/>
  <c r="H43" i="2"/>
  <c r="H44" i="2"/>
  <c r="H45" i="2"/>
  <c r="H46" i="2"/>
  <c r="H47" i="2"/>
  <c r="H48" i="2"/>
  <c r="G40" i="2"/>
  <c r="G41" i="2"/>
  <c r="G42" i="2"/>
  <c r="G43" i="2"/>
  <c r="G44" i="2"/>
  <c r="G45" i="2"/>
  <c r="G46" i="2"/>
  <c r="G47" i="2"/>
  <c r="G48" i="2"/>
  <c r="F40" i="2"/>
  <c r="F41" i="2"/>
  <c r="F42" i="2"/>
  <c r="F43" i="2"/>
  <c r="F44" i="2"/>
  <c r="F45" i="2"/>
  <c r="F46" i="2"/>
  <c r="F47" i="2"/>
  <c r="F48" i="2"/>
  <c r="E40" i="2"/>
  <c r="E41" i="2"/>
  <c r="E42" i="2"/>
  <c r="E43" i="2"/>
  <c r="E44" i="2"/>
  <c r="E45" i="2"/>
  <c r="E46" i="2"/>
  <c r="E47" i="2"/>
  <c r="E48" i="2"/>
  <c r="D40" i="2"/>
  <c r="D41" i="2"/>
  <c r="D42" i="2"/>
  <c r="D43" i="2"/>
  <c r="D44" i="2"/>
  <c r="D45" i="2"/>
  <c r="D46" i="2"/>
  <c r="D47" i="2"/>
  <c r="D48" i="2"/>
  <c r="G56" i="2"/>
  <c r="G55" i="2"/>
  <c r="G54" i="2"/>
  <c r="D53" i="2"/>
  <c r="D54" i="2"/>
  <c r="D55" i="2"/>
  <c r="D56" i="2"/>
  <c r="D57" i="2"/>
  <c r="D58" i="2"/>
  <c r="D59" i="2"/>
  <c r="D60" i="2"/>
  <c r="D61" i="2"/>
  <c r="D62" i="2"/>
  <c r="D63" i="2"/>
  <c r="D52" i="2"/>
  <c r="C53" i="2"/>
  <c r="C54" i="2"/>
  <c r="C55" i="2"/>
  <c r="C56" i="2"/>
  <c r="C57" i="2"/>
  <c r="C58" i="2"/>
  <c r="C59" i="2"/>
  <c r="C60" i="2"/>
  <c r="C61" i="2"/>
  <c r="C62" i="2"/>
  <c r="C63" i="2"/>
  <c r="C52" i="2"/>
  <c r="G53" i="2"/>
  <c r="G52" i="2"/>
  <c r="H24" i="2"/>
  <c r="H25" i="2"/>
  <c r="H26" i="2"/>
  <c r="H27" i="2"/>
  <c r="H28" i="2"/>
  <c r="H29" i="2"/>
  <c r="H30" i="2"/>
  <c r="H31" i="2"/>
  <c r="H23" i="2"/>
  <c r="G24" i="2"/>
  <c r="G25" i="2"/>
  <c r="G26" i="2"/>
  <c r="G27" i="2"/>
  <c r="G28" i="2"/>
  <c r="G29" i="2"/>
  <c r="G30" i="2"/>
  <c r="G31" i="2"/>
  <c r="G23" i="2"/>
  <c r="F24" i="2"/>
  <c r="F25" i="2"/>
  <c r="F26" i="2"/>
  <c r="F27" i="2"/>
  <c r="F28" i="2"/>
  <c r="F29" i="2"/>
  <c r="F30" i="2"/>
  <c r="F31" i="2"/>
  <c r="F23" i="2"/>
  <c r="E24" i="2"/>
  <c r="E25" i="2"/>
  <c r="E26" i="2"/>
  <c r="E27" i="2"/>
  <c r="E28" i="2"/>
  <c r="E29" i="2"/>
  <c r="E30" i="2"/>
  <c r="E31" i="2"/>
  <c r="E23" i="2"/>
  <c r="D24" i="2"/>
  <c r="D25" i="2"/>
  <c r="D26" i="2"/>
  <c r="D27" i="2"/>
  <c r="D28" i="2"/>
  <c r="D29" i="2"/>
  <c r="D30" i="2"/>
  <c r="D31" i="2"/>
  <c r="D23" i="2"/>
  <c r="F23" i="3" l="1"/>
  <c r="F25" i="3"/>
  <c r="H25" i="3" s="1"/>
  <c r="F29" i="3"/>
  <c r="H29" i="3" s="1"/>
  <c r="G54" i="3"/>
  <c r="G55" i="3"/>
  <c r="F30" i="3"/>
  <c r="H30" i="3" s="1"/>
  <c r="G30" i="3"/>
  <c r="F26" i="3"/>
  <c r="H26" i="3" s="1"/>
  <c r="G26" i="3"/>
  <c r="B68" i="3" s="1"/>
  <c r="G31" i="3"/>
  <c r="F31" i="3"/>
  <c r="H31" i="3" s="1"/>
  <c r="G27" i="3"/>
  <c r="F27" i="3"/>
  <c r="H27" i="3" s="1"/>
  <c r="H23" i="3"/>
  <c r="F28" i="3"/>
  <c r="H28" i="3" s="1"/>
  <c r="F24" i="3"/>
  <c r="H24" i="3" s="1"/>
  <c r="B67" i="3" l="1"/>
  <c r="D41" i="3"/>
  <c r="D45" i="3"/>
  <c r="D38" i="3"/>
  <c r="D42" i="3"/>
  <c r="D46" i="3"/>
  <c r="D39" i="3"/>
  <c r="D43" i="3"/>
  <c r="D47" i="3"/>
  <c r="D40" i="3"/>
  <c r="D44" i="3"/>
  <c r="D48" i="3"/>
</calcChain>
</file>

<file path=xl/sharedStrings.xml><?xml version="1.0" encoding="utf-8"?>
<sst xmlns="http://schemas.openxmlformats.org/spreadsheetml/2006/main" count="314" uniqueCount="67">
  <si>
    <t>Month</t>
  </si>
  <si>
    <t>Product</t>
  </si>
  <si>
    <t>Sales (Units)</t>
  </si>
  <si>
    <t>Forecast (Old)</t>
  </si>
  <si>
    <t>Defect Rate</t>
  </si>
  <si>
    <t>Labor_Hours</t>
  </si>
  <si>
    <t>Capacity (hrs)</t>
  </si>
  <si>
    <t>Unit_Cost</t>
  </si>
  <si>
    <t>Unit_Price</t>
  </si>
  <si>
    <t>Inspected Units</t>
  </si>
  <si>
    <t>Defects_Count</t>
  </si>
  <si>
    <t>Jan-24</t>
  </si>
  <si>
    <t>Feb-24</t>
  </si>
  <si>
    <t>Mar-24</t>
  </si>
  <si>
    <t>Apr-24</t>
  </si>
  <si>
    <t>May-24</t>
  </si>
  <si>
    <t>Jun-24</t>
  </si>
  <si>
    <t>Jul-24</t>
  </si>
  <si>
    <t>Aug-24</t>
  </si>
  <si>
    <t>Sep-24</t>
  </si>
  <si>
    <t>Oct-24</t>
  </si>
  <si>
    <t>Nov-24</t>
  </si>
  <si>
    <t>Dec-24</t>
  </si>
  <si>
    <t>Espresso</t>
  </si>
  <si>
    <t>House</t>
  </si>
  <si>
    <t>Cold Brew</t>
  </si>
  <si>
    <t xml:space="preserve">                                                        House Blend </t>
  </si>
  <si>
    <t xml:space="preserve">                                                         Cold Bottles Brew </t>
  </si>
  <si>
    <t>Moving Average:</t>
  </si>
  <si>
    <t>period</t>
  </si>
  <si>
    <t>Demand</t>
  </si>
  <si>
    <t>Forecast</t>
  </si>
  <si>
    <t>Error (A-F)</t>
  </si>
  <si>
    <t>|Error|</t>
  </si>
  <si>
    <t>Error^2</t>
  </si>
  <si>
    <t>[|Error|/ Actual]X 100</t>
  </si>
  <si>
    <t>Linear Trend:</t>
  </si>
  <si>
    <t>Period</t>
  </si>
  <si>
    <t>ty</t>
  </si>
  <si>
    <t>t^2</t>
  </si>
  <si>
    <t>n</t>
  </si>
  <si>
    <r>
      <t>å</t>
    </r>
    <r>
      <rPr>
        <b/>
        <sz val="12"/>
        <color theme="1"/>
        <rFont val="Times New Roman"/>
        <family val="1"/>
      </rPr>
      <t xml:space="preserve"> t</t>
    </r>
  </si>
  <si>
    <r>
      <t>å</t>
    </r>
    <r>
      <rPr>
        <b/>
        <sz val="12"/>
        <color theme="1"/>
        <rFont val="Times New Roman"/>
        <family val="1"/>
      </rPr>
      <t xml:space="preserve"> y</t>
    </r>
  </si>
  <si>
    <r>
      <t>å</t>
    </r>
    <r>
      <rPr>
        <b/>
        <sz val="12"/>
        <color theme="1"/>
        <rFont val="Times New Roman"/>
        <family val="1"/>
      </rPr>
      <t xml:space="preserve"> ty</t>
    </r>
  </si>
  <si>
    <r>
      <t>å</t>
    </r>
    <r>
      <rPr>
        <b/>
        <sz val="12"/>
        <color theme="1"/>
        <rFont val="Times New Roman"/>
        <family val="1"/>
      </rPr>
      <t xml:space="preserve"> t^2</t>
    </r>
  </si>
  <si>
    <r>
      <t>(å</t>
    </r>
    <r>
      <rPr>
        <b/>
        <sz val="12"/>
        <color theme="1"/>
        <rFont val="Times New Roman"/>
        <family val="1"/>
      </rPr>
      <t xml:space="preserve"> t</t>
    </r>
    <r>
      <rPr>
        <b/>
        <sz val="12"/>
        <color theme="1"/>
        <rFont val="Symbol"/>
        <family val="1"/>
        <charset val="2"/>
      </rPr>
      <t>)</t>
    </r>
    <r>
      <rPr>
        <b/>
        <sz val="12"/>
        <color theme="1"/>
        <rFont val="Times New Roman"/>
        <family val="1"/>
      </rPr>
      <t xml:space="preserve"> ^2</t>
    </r>
  </si>
  <si>
    <t>b</t>
  </si>
  <si>
    <t>a</t>
  </si>
  <si>
    <t xml:space="preserve">MAD </t>
  </si>
  <si>
    <t xml:space="preserve">MSE </t>
  </si>
  <si>
    <t xml:space="preserve"> Moving Average</t>
  </si>
  <si>
    <t xml:space="preserve">Linear Trend </t>
  </si>
  <si>
    <t>F=a+b𝒕</t>
  </si>
  <si>
    <t>F= 1902.45 + 14.20 t</t>
  </si>
  <si>
    <t>F= 1670.8+3.05t</t>
  </si>
  <si>
    <t>F= 1313.05+0.53t</t>
  </si>
  <si>
    <t>Capacity_Utilization</t>
  </si>
  <si>
    <t>Center Line (P-Chart)</t>
  </si>
  <si>
    <t>UCL</t>
  </si>
  <si>
    <t>LCL</t>
  </si>
  <si>
    <t>CL Calculation</t>
  </si>
  <si>
    <t>UCL Calculation</t>
  </si>
  <si>
    <t>LCL Calculation</t>
  </si>
  <si>
    <r>
      <t xml:space="preserve">                                                                                                                                                                          </t>
    </r>
    <r>
      <rPr>
        <b/>
        <sz val="20"/>
        <color theme="1"/>
        <rFont val="Calibri"/>
        <family val="2"/>
        <scheme val="minor"/>
      </rPr>
      <t>Espresso Blend</t>
    </r>
  </si>
  <si>
    <t>Capacity Utilization</t>
  </si>
  <si>
    <t>Center Line</t>
  </si>
  <si>
    <t>UCL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</si>
</sst>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
    <numFmt numFmtId="166" formatCode="0.000000000"/>
    <numFmt numFmtId="167" formatCode="0.000"/>
    <numFmt numFmtId="168" formatCode="0.0000"/>
  </numFmts>
  <fonts count="15" x14ac:knownFonts="1">
    <font>
      <sz val="11"/>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b/>
      <sz val="20"/>
      <color theme="1"/>
      <name val="Calibri"/>
      <family val="2"/>
      <scheme val="minor"/>
    </font>
    <font>
      <b/>
      <sz val="12"/>
      <color theme="1"/>
      <name val="Times New Roman"/>
      <family val="1"/>
    </font>
    <font>
      <sz val="12"/>
      <color theme="1"/>
      <name val="Times New Roman"/>
      <family val="1"/>
    </font>
    <font>
      <b/>
      <sz val="14"/>
      <color theme="1"/>
      <name val="Times New Roman"/>
      <family val="1"/>
    </font>
    <font>
      <sz val="11"/>
      <color theme="1"/>
      <name val="Times New Roman"/>
      <family val="1"/>
    </font>
    <font>
      <b/>
      <sz val="16"/>
      <color theme="1"/>
      <name val="Times New Roman"/>
      <family val="1"/>
    </font>
    <font>
      <b/>
      <sz val="12"/>
      <color theme="1"/>
      <name val="Symbol"/>
      <family val="1"/>
      <charset val="2"/>
    </font>
    <font>
      <sz val="14"/>
      <color theme="1"/>
      <name val="Times New Roman"/>
      <family val="1"/>
    </font>
    <font>
      <b/>
      <sz val="20"/>
      <color theme="1"/>
      <name val="Times New Roman"/>
      <family val="1"/>
    </font>
    <font>
      <b/>
      <sz val="11"/>
      <color theme="1"/>
      <name val="Times New Roman"/>
      <family val="1"/>
    </font>
  </fonts>
  <fills count="9">
    <fill>
      <patternFill patternType="none"/>
    </fill>
    <fill>
      <patternFill patternType="gray125"/>
    </fill>
    <fill>
      <patternFill patternType="solid">
        <fgColor theme="5"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indexed="64"/>
      </top>
      <bottom style="medium">
        <color indexed="64"/>
      </bottom>
      <diagonal/>
    </border>
    <border>
      <left/>
      <right/>
      <top style="medium">
        <color indexed="64"/>
      </top>
      <bottom style="medium">
        <color indexed="64"/>
      </bottom>
      <diagonal/>
    </border>
    <border>
      <left style="thin">
        <color auto="1"/>
      </left>
      <right/>
      <top style="thin">
        <color auto="1"/>
      </top>
      <bottom style="thin">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top style="medium">
        <color indexed="64"/>
      </top>
      <bottom/>
      <diagonal/>
    </border>
    <border>
      <left/>
      <right/>
      <top style="medium">
        <color indexed="64"/>
      </top>
      <bottom/>
      <diagonal/>
    </border>
  </borders>
  <cellStyleXfs count="2">
    <xf numFmtId="0" fontId="0" fillId="0" borderId="0"/>
    <xf numFmtId="9" fontId="3" fillId="0" borderId="0" applyFont="0" applyFill="0" applyBorder="0" applyAlignment="0" applyProtection="0"/>
  </cellStyleXfs>
  <cellXfs count="74">
    <xf numFmtId="0" fontId="0" fillId="0" borderId="0" xfId="0"/>
    <xf numFmtId="0" fontId="2" fillId="0" borderId="1" xfId="0" applyFont="1" applyBorder="1" applyAlignment="1">
      <alignment horizontal="center" vertical="top"/>
    </xf>
    <xf numFmtId="0" fontId="7" fillId="5" borderId="1" xfId="0" applyFont="1" applyFill="1" applyBorder="1" applyAlignment="1">
      <alignment horizontal="center" vertical="center" wrapText="1"/>
    </xf>
    <xf numFmtId="2" fontId="7" fillId="5" borderId="1" xfId="0" applyNumberFormat="1" applyFont="1" applyFill="1" applyBorder="1" applyAlignment="1">
      <alignment horizontal="center" vertical="center" wrapText="1"/>
    </xf>
    <xf numFmtId="10" fontId="7" fillId="5"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0" fillId="0" borderId="0" xfId="0" applyAlignment="1">
      <alignment horizontal="right"/>
    </xf>
    <xf numFmtId="0" fontId="0" fillId="0" borderId="0" xfId="0" applyAlignment="1">
      <alignment horizontal="left"/>
    </xf>
    <xf numFmtId="0" fontId="7" fillId="0" borderId="1" xfId="0" applyFont="1" applyBorder="1" applyAlignment="1">
      <alignment horizontal="right" vertical="center"/>
    </xf>
    <xf numFmtId="0" fontId="8" fillId="4" borderId="1" xfId="0" applyFont="1" applyFill="1" applyBorder="1" applyAlignment="1">
      <alignment horizontal="right" vertical="top"/>
    </xf>
    <xf numFmtId="0" fontId="10" fillId="4" borderId="1" xfId="0" applyFont="1" applyFill="1" applyBorder="1" applyAlignment="1">
      <alignment horizontal="left"/>
    </xf>
    <xf numFmtId="0" fontId="7" fillId="0" borderId="1" xfId="0" applyFont="1" applyBorder="1" applyAlignment="1">
      <alignment horizontal="center" vertical="center" wrapText="1"/>
    </xf>
    <xf numFmtId="0" fontId="0" fillId="0" borderId="1" xfId="0" applyBorder="1" applyAlignment="1">
      <alignment horizontal="center" vertical="center"/>
    </xf>
    <xf numFmtId="0" fontId="4"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1" fillId="0" borderId="0" xfId="0" applyFont="1" applyAlignment="1">
      <alignment horizontal="center" vertical="center"/>
    </xf>
    <xf numFmtId="0" fontId="0" fillId="0" borderId="0" xfId="0" applyAlignment="1">
      <alignment horizontal="center" vertical="center"/>
    </xf>
    <xf numFmtId="10" fontId="0" fillId="0" borderId="0" xfId="1" applyNumberFormat="1" applyFont="1" applyBorder="1" applyAlignment="1">
      <alignment horizontal="center" vertical="center"/>
    </xf>
    <xf numFmtId="2" fontId="6" fillId="6" borderId="1" xfId="0" applyNumberFormat="1" applyFont="1" applyFill="1" applyBorder="1" applyAlignment="1">
      <alignment horizontal="center" vertical="center" wrapText="1"/>
    </xf>
    <xf numFmtId="0" fontId="7" fillId="0" borderId="0" xfId="0" applyFont="1"/>
    <xf numFmtId="0" fontId="7" fillId="6" borderId="1" xfId="0" applyFont="1" applyFill="1" applyBorder="1" applyAlignment="1">
      <alignment horizontal="center" vertical="center"/>
    </xf>
    <xf numFmtId="2" fontId="7" fillId="0" borderId="1" xfId="0" applyNumberFormat="1" applyFont="1" applyBorder="1" applyAlignment="1">
      <alignment horizontal="center" vertical="center"/>
    </xf>
    <xf numFmtId="0" fontId="8"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9" fillId="0" borderId="0" xfId="0" applyFont="1" applyAlignment="1">
      <alignment horizontal="left"/>
    </xf>
    <xf numFmtId="0" fontId="6" fillId="7" borderId="1" xfId="0" applyFont="1" applyFill="1" applyBorder="1" applyAlignment="1">
      <alignment horizontal="center" vertical="center" wrapText="1"/>
    </xf>
    <xf numFmtId="0" fontId="10" fillId="7" borderId="1" xfId="0" applyFont="1" applyFill="1" applyBorder="1" applyAlignment="1">
      <alignment horizontal="left"/>
    </xf>
    <xf numFmtId="0" fontId="4" fillId="7" borderId="1" xfId="0" applyFont="1" applyFill="1" applyBorder="1" applyAlignment="1">
      <alignment horizontal="center" vertical="center"/>
    </xf>
    <xf numFmtId="0" fontId="11" fillId="7" borderId="1" xfId="0" applyFont="1" applyFill="1" applyBorder="1" applyAlignment="1">
      <alignment horizontal="center" vertical="center"/>
    </xf>
    <xf numFmtId="0" fontId="12" fillId="7" borderId="1" xfId="0" applyFont="1" applyFill="1" applyBorder="1" applyAlignment="1">
      <alignment horizontal="center" vertical="center"/>
    </xf>
    <xf numFmtId="2" fontId="6" fillId="7"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xf>
    <xf numFmtId="0" fontId="0" fillId="7" borderId="1" xfId="0" applyFill="1" applyBorder="1"/>
    <xf numFmtId="0" fontId="13" fillId="0" borderId="1" xfId="0" applyFont="1" applyBorder="1"/>
    <xf numFmtId="0" fontId="6" fillId="7" borderId="1" xfId="0" applyFont="1" applyFill="1" applyBorder="1" applyAlignment="1">
      <alignment horizontal="center" vertical="center"/>
    </xf>
    <xf numFmtId="0" fontId="9" fillId="0" borderId="1" xfId="0" applyFont="1" applyBorder="1"/>
    <xf numFmtId="0" fontId="7" fillId="0" borderId="1" xfId="0" applyFont="1" applyBorder="1"/>
    <xf numFmtId="0" fontId="14" fillId="0" borderId="1" xfId="0" applyFont="1" applyBorder="1" applyAlignment="1">
      <alignment horizontal="center" vertical="top"/>
    </xf>
    <xf numFmtId="0" fontId="7" fillId="0" borderId="4" xfId="0" applyFont="1" applyBorder="1" applyAlignment="1">
      <alignment horizontal="center" vertical="center" wrapText="1"/>
    </xf>
    <xf numFmtId="0" fontId="7" fillId="0" borderId="7" xfId="0" applyFont="1" applyBorder="1" applyAlignment="1">
      <alignment horizontal="center" vertical="center" wrapText="1"/>
    </xf>
    <xf numFmtId="0" fontId="6" fillId="4" borderId="8" xfId="0" applyFont="1" applyFill="1" applyBorder="1" applyAlignment="1">
      <alignment horizontal="center" vertical="center" wrapText="1"/>
    </xf>
    <xf numFmtId="0" fontId="10" fillId="8" borderId="1" xfId="0" applyFont="1" applyFill="1" applyBorder="1" applyAlignment="1">
      <alignment horizontal="left"/>
    </xf>
    <xf numFmtId="0" fontId="6" fillId="8"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11" fillId="8" borderId="1" xfId="0" applyFont="1" applyFill="1" applyBorder="1" applyAlignment="1">
      <alignment horizontal="center" vertical="center"/>
    </xf>
    <xf numFmtId="0" fontId="12" fillId="8" borderId="1" xfId="0" applyFont="1" applyFill="1" applyBorder="1" applyAlignment="1">
      <alignment horizontal="center" vertical="center"/>
    </xf>
    <xf numFmtId="2" fontId="6" fillId="8" borderId="1" xfId="0" applyNumberFormat="1" applyFont="1" applyFill="1" applyBorder="1" applyAlignment="1">
      <alignment horizontal="center" vertical="center" wrapText="1"/>
    </xf>
    <xf numFmtId="0" fontId="7" fillId="8" borderId="1" xfId="0" applyFont="1" applyFill="1" applyBorder="1" applyAlignment="1">
      <alignment horizontal="center" vertical="center"/>
    </xf>
    <xf numFmtId="10" fontId="7" fillId="5" borderId="1" xfId="1" applyNumberFormat="1" applyFont="1" applyFill="1" applyBorder="1" applyAlignment="1">
      <alignment horizontal="center" vertical="center" wrapText="1"/>
    </xf>
    <xf numFmtId="2" fontId="0" fillId="0" borderId="1" xfId="0" applyNumberFormat="1" applyBorder="1" applyAlignment="1">
      <alignment horizontal="center" vertical="center"/>
    </xf>
    <xf numFmtId="164" fontId="7" fillId="5" borderId="1" xfId="0" applyNumberFormat="1" applyFont="1" applyFill="1" applyBorder="1" applyAlignment="1">
      <alignment horizontal="center" vertical="center" wrapText="1"/>
    </xf>
    <xf numFmtId="165" fontId="7" fillId="5" borderId="1" xfId="0" applyNumberFormat="1" applyFont="1" applyFill="1" applyBorder="1" applyAlignment="1">
      <alignment horizontal="center" vertical="center" wrapText="1"/>
    </xf>
    <xf numFmtId="166" fontId="7" fillId="5" borderId="1" xfId="0" applyNumberFormat="1" applyFont="1" applyFill="1" applyBorder="1" applyAlignment="1">
      <alignment horizontal="center" vertical="center" wrapText="1"/>
    </xf>
    <xf numFmtId="9" fontId="7" fillId="5" borderId="1" xfId="1" applyFont="1" applyFill="1" applyBorder="1" applyAlignment="1">
      <alignment horizontal="center" vertical="center" wrapText="1"/>
    </xf>
    <xf numFmtId="0" fontId="0" fillId="0" borderId="1" xfId="0" applyBorder="1"/>
    <xf numFmtId="0" fontId="6" fillId="0" borderId="1" xfId="0" applyFont="1" applyBorder="1"/>
    <xf numFmtId="9" fontId="1" fillId="0" borderId="1" xfId="1" applyFont="1" applyBorder="1"/>
    <xf numFmtId="167" fontId="1" fillId="0" borderId="1" xfId="0" applyNumberFormat="1" applyFont="1" applyBorder="1"/>
    <xf numFmtId="0" fontId="6" fillId="0" borderId="1" xfId="0" applyFont="1" applyBorder="1" applyAlignment="1">
      <alignment horizontal="center" vertical="top"/>
    </xf>
    <xf numFmtId="9" fontId="0" fillId="0" borderId="1" xfId="0" applyNumberFormat="1" applyBorder="1"/>
    <xf numFmtId="0" fontId="4" fillId="0" borderId="1" xfId="0" applyFont="1" applyBorder="1"/>
    <xf numFmtId="0" fontId="1" fillId="0" borderId="1" xfId="0" applyFont="1" applyBorder="1"/>
    <xf numFmtId="168" fontId="0" fillId="0" borderId="1" xfId="0" applyNumberFormat="1" applyBorder="1"/>
    <xf numFmtId="0" fontId="6" fillId="0" borderId="0" xfId="0" applyFont="1"/>
    <xf numFmtId="0" fontId="2" fillId="8" borderId="5" xfId="0" applyFont="1" applyFill="1" applyBorder="1" applyAlignment="1">
      <alignment horizontal="left"/>
    </xf>
    <xf numFmtId="0" fontId="0" fillId="8" borderId="6" xfId="0" applyFill="1" applyBorder="1" applyAlignment="1">
      <alignment horizontal="left"/>
    </xf>
    <xf numFmtId="0" fontId="0" fillId="8" borderId="2" xfId="0" applyFill="1" applyBorder="1" applyAlignment="1">
      <alignment horizontal="left"/>
    </xf>
    <xf numFmtId="0" fontId="5" fillId="2" borderId="9" xfId="0" applyFont="1" applyFill="1" applyBorder="1" applyAlignment="1">
      <alignment horizontal="left"/>
    </xf>
    <xf numFmtId="0" fontId="0" fillId="2" borderId="10" xfId="0" applyFill="1" applyBorder="1" applyAlignment="1">
      <alignment horizontal="left"/>
    </xf>
    <xf numFmtId="0" fontId="0" fillId="2" borderId="3" xfId="0" applyFill="1" applyBorder="1" applyAlignment="1">
      <alignment horizontal="left"/>
    </xf>
    <xf numFmtId="0" fontId="5" fillId="3" borderId="5" xfId="0" applyFont="1" applyFill="1" applyBorder="1" applyAlignment="1">
      <alignment horizontal="left"/>
    </xf>
    <xf numFmtId="0" fontId="2" fillId="3" borderId="6" xfId="0" applyFont="1" applyFill="1" applyBorder="1" applyAlignment="1">
      <alignment horizontal="left"/>
    </xf>
    <xf numFmtId="0" fontId="2" fillId="3" borderId="2" xfId="0" applyFont="1" applyFill="1" applyBorder="1" applyAlignment="1">
      <alignment horizontal="left"/>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Times New Roman" panose="02020603050405020304" pitchFamily="18" charset="0"/>
                <a:cs typeface="Times New Roman" panose="02020603050405020304" pitchFamily="18" charset="0"/>
              </a:rPr>
              <a:t>Moving</a:t>
            </a:r>
            <a:r>
              <a:rPr lang="en-US" sz="1600" b="1" baseline="0">
                <a:solidFill>
                  <a:schemeClr val="tx1"/>
                </a:solidFill>
                <a:latin typeface="Times New Roman" panose="02020603050405020304" pitchFamily="18" charset="0"/>
                <a:cs typeface="Times New Roman" panose="02020603050405020304" pitchFamily="18" charset="0"/>
              </a:rPr>
              <a:t> Average: Actual Demand VS Forecast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v>Actual</c:v>
          </c:tx>
          <c:spPr>
            <a:ln w="28575" cap="rnd">
              <a:solidFill>
                <a:schemeClr val="accent1"/>
              </a:solidFill>
              <a:round/>
            </a:ln>
            <a:effectLst/>
          </c:spPr>
          <c:marker>
            <c:symbol val="none"/>
          </c:marker>
          <c:val>
            <c:numRef>
              <c:f>Sheet1!$B$23:$B$31</c:f>
              <c:numCache>
                <c:formatCode>General</c:formatCode>
                <c:ptCount val="9"/>
                <c:pt idx="0">
                  <c:v>2023</c:v>
                </c:pt>
                <c:pt idx="1">
                  <c:v>2169</c:v>
                </c:pt>
                <c:pt idx="2">
                  <c:v>2100</c:v>
                </c:pt>
                <c:pt idx="3">
                  <c:v>2001</c:v>
                </c:pt>
                <c:pt idx="4">
                  <c:v>1888</c:v>
                </c:pt>
                <c:pt idx="5">
                  <c:v>1797</c:v>
                </c:pt>
                <c:pt idx="6">
                  <c:v>2147</c:v>
                </c:pt>
                <c:pt idx="7">
                  <c:v>1971</c:v>
                </c:pt>
                <c:pt idx="8">
                  <c:v>2190</c:v>
                </c:pt>
              </c:numCache>
            </c:numRef>
          </c:val>
          <c:smooth val="0"/>
          <c:extLst>
            <c:ext xmlns:c16="http://schemas.microsoft.com/office/drawing/2014/chart" uri="{C3380CC4-5D6E-409C-BE32-E72D297353CC}">
              <c16:uniqueId val="{00000000-5A95-4246-8BE3-646F56B97F13}"/>
            </c:ext>
          </c:extLst>
        </c:ser>
        <c:ser>
          <c:idx val="1"/>
          <c:order val="1"/>
          <c:tx>
            <c:v>Forecast</c:v>
          </c:tx>
          <c:spPr>
            <a:ln w="28575" cap="rnd">
              <a:solidFill>
                <a:schemeClr val="accent2"/>
              </a:solidFill>
              <a:round/>
            </a:ln>
            <a:effectLst/>
          </c:spPr>
          <c:marker>
            <c:symbol val="none"/>
          </c:marker>
          <c:val>
            <c:numRef>
              <c:f>Sheet1!$D$23:$D$31</c:f>
              <c:numCache>
                <c:formatCode>0.00</c:formatCode>
                <c:ptCount val="9"/>
                <c:pt idx="0">
                  <c:v>1883.6666666666667</c:v>
                </c:pt>
                <c:pt idx="1">
                  <c:v>1940.6666666666667</c:v>
                </c:pt>
                <c:pt idx="2">
                  <c:v>2037</c:v>
                </c:pt>
                <c:pt idx="3">
                  <c:v>2097.3333333333335</c:v>
                </c:pt>
                <c:pt idx="4">
                  <c:v>2090</c:v>
                </c:pt>
                <c:pt idx="5">
                  <c:v>1996.3333333333333</c:v>
                </c:pt>
                <c:pt idx="6">
                  <c:v>1895.3333333333333</c:v>
                </c:pt>
                <c:pt idx="7">
                  <c:v>1944</c:v>
                </c:pt>
                <c:pt idx="8">
                  <c:v>1971.6666666666667</c:v>
                </c:pt>
              </c:numCache>
            </c:numRef>
          </c:val>
          <c:smooth val="0"/>
          <c:extLst>
            <c:ext xmlns:c16="http://schemas.microsoft.com/office/drawing/2014/chart" uri="{C3380CC4-5D6E-409C-BE32-E72D297353CC}">
              <c16:uniqueId val="{00000001-5A95-4246-8BE3-646F56B97F13}"/>
            </c:ext>
          </c:extLst>
        </c:ser>
        <c:dLbls>
          <c:showLegendKey val="0"/>
          <c:showVal val="0"/>
          <c:showCatName val="0"/>
          <c:showSerName val="0"/>
          <c:showPercent val="0"/>
          <c:showBubbleSize val="0"/>
        </c:dLbls>
        <c:smooth val="0"/>
        <c:axId val="1190584480"/>
        <c:axId val="1622375472"/>
      </c:lineChart>
      <c:catAx>
        <c:axId val="119058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chemeClr val="tx1"/>
                    </a:solidFill>
                    <a:latin typeface="Times New Roman" panose="02020603050405020304" pitchFamily="18" charset="0"/>
                    <a:cs typeface="Times New Roman" panose="02020603050405020304" pitchFamily="18" charset="0"/>
                  </a:rPr>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375472"/>
        <c:crosses val="autoZero"/>
        <c:auto val="1"/>
        <c:lblAlgn val="ctr"/>
        <c:lblOffset val="100"/>
        <c:noMultiLvlLbl val="0"/>
      </c:catAx>
      <c:valAx>
        <c:axId val="1622375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chemeClr val="tx1"/>
                    </a:solidFill>
                    <a:latin typeface="Times New Roman" panose="02020603050405020304" pitchFamily="18" charset="0"/>
                    <a:cs typeface="Times New Roman" panose="02020603050405020304" pitchFamily="18" charset="0"/>
                  </a:rPr>
                  <a:t>Units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584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Linear</a:t>
            </a:r>
            <a:r>
              <a:rPr lang="en-US" sz="1600" b="1" baseline="0">
                <a:latin typeface="Times New Roman" panose="02020603050405020304" pitchFamily="18" charset="0"/>
                <a:cs typeface="Times New Roman" panose="02020603050405020304" pitchFamily="18" charset="0"/>
              </a:rPr>
              <a:t> Trend: Actual Demand VS Forecast</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v>Actual</c:v>
          </c:tx>
          <c:spPr>
            <a:ln w="28575" cap="rnd">
              <a:solidFill>
                <a:schemeClr val="accent6"/>
              </a:solidFill>
              <a:round/>
            </a:ln>
            <a:effectLst/>
          </c:spPr>
          <c:marker>
            <c:symbol val="none"/>
          </c:marker>
          <c:val>
            <c:numRef>
              <c:f>Sheet1!$B$40:$B$48</c:f>
              <c:numCache>
                <c:formatCode>General</c:formatCode>
                <c:ptCount val="9"/>
                <c:pt idx="0">
                  <c:v>2023</c:v>
                </c:pt>
                <c:pt idx="1">
                  <c:v>2169</c:v>
                </c:pt>
                <c:pt idx="2">
                  <c:v>2100</c:v>
                </c:pt>
                <c:pt idx="3">
                  <c:v>2001</c:v>
                </c:pt>
                <c:pt idx="4">
                  <c:v>1888</c:v>
                </c:pt>
                <c:pt idx="5">
                  <c:v>1797</c:v>
                </c:pt>
                <c:pt idx="6">
                  <c:v>2147</c:v>
                </c:pt>
                <c:pt idx="7">
                  <c:v>1971</c:v>
                </c:pt>
                <c:pt idx="8">
                  <c:v>2190</c:v>
                </c:pt>
              </c:numCache>
            </c:numRef>
          </c:val>
          <c:smooth val="0"/>
          <c:extLst>
            <c:ext xmlns:c16="http://schemas.microsoft.com/office/drawing/2014/chart" uri="{C3380CC4-5D6E-409C-BE32-E72D297353CC}">
              <c16:uniqueId val="{00000000-5B9A-B140-89AF-49905FE3BAC5}"/>
            </c:ext>
          </c:extLst>
        </c:ser>
        <c:ser>
          <c:idx val="1"/>
          <c:order val="1"/>
          <c:tx>
            <c:v>Forecast</c:v>
          </c:tx>
          <c:spPr>
            <a:ln w="28575" cap="rnd">
              <a:solidFill>
                <a:schemeClr val="accent5"/>
              </a:solidFill>
              <a:round/>
            </a:ln>
            <a:effectLst/>
          </c:spPr>
          <c:marker>
            <c:symbol val="none"/>
          </c:marker>
          <c:val>
            <c:numRef>
              <c:f>Sheet1!$D$40:$D$48</c:f>
              <c:numCache>
                <c:formatCode>General</c:formatCode>
                <c:ptCount val="9"/>
                <c:pt idx="0">
                  <c:v>1959.25</c:v>
                </c:pt>
                <c:pt idx="1">
                  <c:v>1973.45</c:v>
                </c:pt>
                <c:pt idx="2">
                  <c:v>1987.65</c:v>
                </c:pt>
                <c:pt idx="3">
                  <c:v>2001.8500000000001</c:v>
                </c:pt>
                <c:pt idx="4">
                  <c:v>2016.05</c:v>
                </c:pt>
                <c:pt idx="5">
                  <c:v>2030.25</c:v>
                </c:pt>
                <c:pt idx="6">
                  <c:v>2044.45</c:v>
                </c:pt>
                <c:pt idx="7">
                  <c:v>2058.65</c:v>
                </c:pt>
                <c:pt idx="8">
                  <c:v>2072.85</c:v>
                </c:pt>
              </c:numCache>
            </c:numRef>
          </c:val>
          <c:smooth val="0"/>
          <c:extLst>
            <c:ext xmlns:c16="http://schemas.microsoft.com/office/drawing/2014/chart" uri="{C3380CC4-5D6E-409C-BE32-E72D297353CC}">
              <c16:uniqueId val="{00000001-5B9A-B140-89AF-49905FE3BAC5}"/>
            </c:ext>
          </c:extLst>
        </c:ser>
        <c:dLbls>
          <c:showLegendKey val="0"/>
          <c:showVal val="0"/>
          <c:showCatName val="0"/>
          <c:showSerName val="0"/>
          <c:showPercent val="0"/>
          <c:showBubbleSize val="0"/>
        </c:dLbls>
        <c:smooth val="0"/>
        <c:axId val="1864761280"/>
        <c:axId val="1748398128"/>
      </c:lineChart>
      <c:catAx>
        <c:axId val="1864761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chemeClr val="tx1"/>
                    </a:solidFill>
                    <a:latin typeface="Times New Roman" panose="02020603050405020304" pitchFamily="18" charset="0"/>
                    <a:cs typeface="Times New Roman" panose="02020603050405020304" pitchFamily="18" charset="0"/>
                  </a:rPr>
                  <a:t>Months</a:t>
                </a:r>
                <a:endParaRPr lang="en-US" sz="110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398128"/>
        <c:crosses val="autoZero"/>
        <c:auto val="1"/>
        <c:lblAlgn val="ctr"/>
        <c:lblOffset val="100"/>
        <c:noMultiLvlLbl val="0"/>
      </c:catAx>
      <c:valAx>
        <c:axId val="1748398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chemeClr val="tx1"/>
                    </a:solidFill>
                    <a:latin typeface="Times New Roman" panose="02020603050405020304" pitchFamily="18" charset="0"/>
                    <a:cs typeface="Times New Roman" panose="02020603050405020304" pitchFamily="18" charset="0"/>
                  </a:rPr>
                  <a:t>Units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761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effectLst/>
                <a:latin typeface="Times New Roman" panose="02020603050405020304" pitchFamily="18" charset="0"/>
                <a:cs typeface="Times New Roman" panose="02020603050405020304" pitchFamily="18" charset="0"/>
              </a:rPr>
              <a:t>Capacity Utilization by Month</a:t>
            </a:r>
            <a:endParaRPr lang="en-US" sz="16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Sheet1!$L$2</c:f>
              <c:strCache>
                <c:ptCount val="1"/>
                <c:pt idx="0">
                  <c:v>Capacity_Utilization</c:v>
                </c:pt>
              </c:strCache>
            </c:strRef>
          </c:tx>
          <c:spPr>
            <a:solidFill>
              <a:schemeClr val="accent1"/>
            </a:solidFill>
            <a:ln>
              <a:noFill/>
            </a:ln>
            <a:effectLst/>
          </c:spPr>
          <c:invertIfNegative val="0"/>
          <c:val>
            <c:numRef>
              <c:f>Sheet1!$L$3:$L$14</c:f>
              <c:numCache>
                <c:formatCode>0%</c:formatCode>
                <c:ptCount val="12"/>
                <c:pt idx="0">
                  <c:v>0.79024144869215296</c:v>
                </c:pt>
                <c:pt idx="1">
                  <c:v>0.88055422838031538</c:v>
                </c:pt>
                <c:pt idx="2">
                  <c:v>0.85562310030395139</c:v>
                </c:pt>
                <c:pt idx="3">
                  <c:v>0.74130328270455659</c:v>
                </c:pt>
                <c:pt idx="4">
                  <c:v>0.68570123343992695</c:v>
                </c:pt>
                <c:pt idx="5">
                  <c:v>0.97368421052631582</c:v>
                </c:pt>
                <c:pt idx="6">
                  <c:v>0.787321063394683</c:v>
                </c:pt>
                <c:pt idx="7">
                  <c:v>0.91858237547892718</c:v>
                </c:pt>
                <c:pt idx="8">
                  <c:v>0.8107559614408929</c:v>
                </c:pt>
                <c:pt idx="9">
                  <c:v>0.94046306504961408</c:v>
                </c:pt>
                <c:pt idx="10">
                  <c:v>0.91356673960612689</c:v>
                </c:pt>
                <c:pt idx="11">
                  <c:v>0.87194791101465008</c:v>
                </c:pt>
              </c:numCache>
            </c:numRef>
          </c:val>
          <c:extLst>
            <c:ext xmlns:c16="http://schemas.microsoft.com/office/drawing/2014/chart" uri="{C3380CC4-5D6E-409C-BE32-E72D297353CC}">
              <c16:uniqueId val="{00000000-0A9C-BE41-B435-14B385DC2394}"/>
            </c:ext>
          </c:extLst>
        </c:ser>
        <c:dLbls>
          <c:showLegendKey val="0"/>
          <c:showVal val="0"/>
          <c:showCatName val="0"/>
          <c:showSerName val="0"/>
          <c:showPercent val="0"/>
          <c:showBubbleSize val="0"/>
        </c:dLbls>
        <c:gapWidth val="219"/>
        <c:overlap val="-27"/>
        <c:axId val="128992895"/>
        <c:axId val="128994607"/>
      </c:barChart>
      <c:catAx>
        <c:axId val="128992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chemeClr val="tx1"/>
                    </a:solidFill>
                    <a:latin typeface="Times New Roman" panose="02020603050405020304" pitchFamily="18" charset="0"/>
                    <a:cs typeface="Times New Roman" panose="02020603050405020304" pitchFamily="18" charset="0"/>
                  </a:rPr>
                  <a:t>Months</a:t>
                </a:r>
                <a:endParaRPr lang="en-US" sz="120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94607"/>
        <c:crosses val="autoZero"/>
        <c:auto val="1"/>
        <c:lblAlgn val="ctr"/>
        <c:lblOffset val="100"/>
        <c:noMultiLvlLbl val="0"/>
      </c:catAx>
      <c:valAx>
        <c:axId val="128994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0" i="0" u="none" strike="noStrike" kern="1200" baseline="0">
                    <a:solidFill>
                      <a:schemeClr val="tx1"/>
                    </a:solidFill>
                    <a:latin typeface="Times New Roman" panose="02020603050405020304" pitchFamily="18" charset="0"/>
                    <a:cs typeface="Times New Roman" panose="02020603050405020304" pitchFamily="18" charset="0"/>
                  </a:rPr>
                  <a:t>Capacity_Utilization</a:t>
                </a:r>
                <a:endParaRPr lang="en-US" sz="140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9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effectLst/>
                <a:latin typeface="Times New Roman" panose="02020603050405020304" pitchFamily="18" charset="0"/>
                <a:cs typeface="Times New Roman" panose="02020603050405020304" pitchFamily="18" charset="0"/>
              </a:rPr>
              <a:t>P-Chart for Defect Rate</a:t>
            </a:r>
            <a:endParaRPr lang="en-US" sz="16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3496299769129656"/>
          <c:y val="1.87681400723928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Sheet1!$G$2</c:f>
              <c:strCache>
                <c:ptCount val="1"/>
                <c:pt idx="0">
                  <c:v>Defect 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Sheet1!$A$3:$A$14</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Sheet1!$G$3:$G$14</c:f>
              <c:numCache>
                <c:formatCode>General</c:formatCode>
                <c:ptCount val="12"/>
                <c:pt idx="0">
                  <c:v>3.5499999999999997E-2</c:v>
                </c:pt>
                <c:pt idx="1">
                  <c:v>3.1699999999999999E-2</c:v>
                </c:pt>
                <c:pt idx="2">
                  <c:v>4.1000000000000002E-2</c:v>
                </c:pt>
                <c:pt idx="3">
                  <c:v>5.8299999999999998E-2</c:v>
                </c:pt>
                <c:pt idx="4">
                  <c:v>4.99E-2</c:v>
                </c:pt>
                <c:pt idx="5">
                  <c:v>3.9800000000000002E-2</c:v>
                </c:pt>
                <c:pt idx="6">
                  <c:v>4.6300000000000001E-2</c:v>
                </c:pt>
                <c:pt idx="7">
                  <c:v>5.1299999999999998E-2</c:v>
                </c:pt>
                <c:pt idx="8">
                  <c:v>3.9800000000000002E-2</c:v>
                </c:pt>
                <c:pt idx="9">
                  <c:v>3.1199999999999999E-2</c:v>
                </c:pt>
                <c:pt idx="10">
                  <c:v>4.2299999999999997E-2</c:v>
                </c:pt>
                <c:pt idx="11">
                  <c:v>4.3700000000000003E-2</c:v>
                </c:pt>
              </c:numCache>
            </c:numRef>
          </c:val>
          <c:smooth val="0"/>
          <c:extLst>
            <c:ext xmlns:c16="http://schemas.microsoft.com/office/drawing/2014/chart" uri="{C3380CC4-5D6E-409C-BE32-E72D297353CC}">
              <c16:uniqueId val="{00000000-0D0B-444B-A8C1-0021B1E13C74}"/>
            </c:ext>
          </c:extLst>
        </c:ser>
        <c:ser>
          <c:idx val="1"/>
          <c:order val="1"/>
          <c:tx>
            <c:strRef>
              <c:f>Sheet1!$M$2</c:f>
              <c:strCache>
                <c:ptCount val="1"/>
                <c:pt idx="0">
                  <c:v>Center Line (P-Chart)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Sheet1!$A$3:$A$14</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Sheet1!$M$3:$M$14</c:f>
              <c:numCache>
                <c:formatCode>0.000</c:formatCode>
                <c:ptCount val="12"/>
                <c:pt idx="0">
                  <c:v>4.2625000000000003E-2</c:v>
                </c:pt>
                <c:pt idx="1">
                  <c:v>4.2625000000000003E-2</c:v>
                </c:pt>
                <c:pt idx="2">
                  <c:v>4.2625000000000003E-2</c:v>
                </c:pt>
                <c:pt idx="3">
                  <c:v>4.2625000000000003E-2</c:v>
                </c:pt>
                <c:pt idx="4">
                  <c:v>4.2625000000000003E-2</c:v>
                </c:pt>
                <c:pt idx="5">
                  <c:v>4.2625000000000003E-2</c:v>
                </c:pt>
                <c:pt idx="6">
                  <c:v>4.2625000000000003E-2</c:v>
                </c:pt>
                <c:pt idx="7">
                  <c:v>4.2625000000000003E-2</c:v>
                </c:pt>
                <c:pt idx="8">
                  <c:v>4.2625000000000003E-2</c:v>
                </c:pt>
                <c:pt idx="9">
                  <c:v>4.2625000000000003E-2</c:v>
                </c:pt>
                <c:pt idx="10">
                  <c:v>4.2625000000000003E-2</c:v>
                </c:pt>
                <c:pt idx="11">
                  <c:v>4.2625000000000003E-2</c:v>
                </c:pt>
              </c:numCache>
            </c:numRef>
          </c:val>
          <c:smooth val="0"/>
          <c:extLst>
            <c:ext xmlns:c16="http://schemas.microsoft.com/office/drawing/2014/chart" uri="{C3380CC4-5D6E-409C-BE32-E72D297353CC}">
              <c16:uniqueId val="{00000001-0D0B-444B-A8C1-0021B1E13C74}"/>
            </c:ext>
          </c:extLst>
        </c:ser>
        <c:ser>
          <c:idx val="2"/>
          <c:order val="2"/>
          <c:tx>
            <c:strRef>
              <c:f>Sheet1!$N$2</c:f>
              <c:strCache>
                <c:ptCount val="1"/>
                <c:pt idx="0">
                  <c:v>UCL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Sheet1!$A$3:$A$14</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Sheet1!$N$3:$N$14</c:f>
              <c:numCache>
                <c:formatCode>0.000</c:formatCode>
                <c:ptCount val="12"/>
                <c:pt idx="0">
                  <c:v>5.6176254266210937E-2</c:v>
                </c:pt>
                <c:pt idx="1">
                  <c:v>5.6176254266210937E-2</c:v>
                </c:pt>
                <c:pt idx="2">
                  <c:v>5.6176254266210937E-2</c:v>
                </c:pt>
                <c:pt idx="3">
                  <c:v>5.6176254266210937E-2</c:v>
                </c:pt>
                <c:pt idx="4">
                  <c:v>5.6176254266210937E-2</c:v>
                </c:pt>
                <c:pt idx="5">
                  <c:v>5.6176254266210937E-2</c:v>
                </c:pt>
                <c:pt idx="6">
                  <c:v>5.6176254266210937E-2</c:v>
                </c:pt>
                <c:pt idx="7">
                  <c:v>5.6176254266210937E-2</c:v>
                </c:pt>
                <c:pt idx="8">
                  <c:v>5.6176254266210937E-2</c:v>
                </c:pt>
                <c:pt idx="9">
                  <c:v>5.6176254266210937E-2</c:v>
                </c:pt>
                <c:pt idx="10">
                  <c:v>5.6176254266210937E-2</c:v>
                </c:pt>
                <c:pt idx="11">
                  <c:v>5.6176254266210937E-2</c:v>
                </c:pt>
              </c:numCache>
            </c:numRef>
          </c:val>
          <c:smooth val="0"/>
          <c:extLst>
            <c:ext xmlns:c16="http://schemas.microsoft.com/office/drawing/2014/chart" uri="{C3380CC4-5D6E-409C-BE32-E72D297353CC}">
              <c16:uniqueId val="{00000002-0D0B-444B-A8C1-0021B1E13C74}"/>
            </c:ext>
          </c:extLst>
        </c:ser>
        <c:ser>
          <c:idx val="3"/>
          <c:order val="3"/>
          <c:tx>
            <c:strRef>
              <c:f>Sheet1!$O$2</c:f>
              <c:strCache>
                <c:ptCount val="1"/>
                <c:pt idx="0">
                  <c:v>LCL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Sheet1!$A$3:$A$14</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Sheet1!$O$3:$O$14</c:f>
              <c:numCache>
                <c:formatCode>0.000</c:formatCode>
                <c:ptCount val="12"/>
                <c:pt idx="0">
                  <c:v>2.9073745733789069E-2</c:v>
                </c:pt>
                <c:pt idx="1">
                  <c:v>2.9073745733789069E-2</c:v>
                </c:pt>
                <c:pt idx="2">
                  <c:v>2.9073745733789069E-2</c:v>
                </c:pt>
                <c:pt idx="3">
                  <c:v>2.9073745733789069E-2</c:v>
                </c:pt>
                <c:pt idx="4">
                  <c:v>2.9073745733789069E-2</c:v>
                </c:pt>
                <c:pt idx="5">
                  <c:v>2.9073745733789069E-2</c:v>
                </c:pt>
                <c:pt idx="6">
                  <c:v>2.9073745733789069E-2</c:v>
                </c:pt>
                <c:pt idx="7">
                  <c:v>2.9073745733789069E-2</c:v>
                </c:pt>
                <c:pt idx="8">
                  <c:v>2.9073745733789069E-2</c:v>
                </c:pt>
                <c:pt idx="9">
                  <c:v>2.9073745733789069E-2</c:v>
                </c:pt>
                <c:pt idx="10">
                  <c:v>2.9073745733789069E-2</c:v>
                </c:pt>
                <c:pt idx="11">
                  <c:v>2.9073745733789069E-2</c:v>
                </c:pt>
              </c:numCache>
            </c:numRef>
          </c:val>
          <c:smooth val="0"/>
          <c:extLst>
            <c:ext xmlns:c16="http://schemas.microsoft.com/office/drawing/2014/chart" uri="{C3380CC4-5D6E-409C-BE32-E72D297353CC}">
              <c16:uniqueId val="{00000003-0D0B-444B-A8C1-0021B1E13C74}"/>
            </c:ext>
          </c:extLst>
        </c:ser>
        <c:dLbls>
          <c:showLegendKey val="0"/>
          <c:showVal val="0"/>
          <c:showCatName val="0"/>
          <c:showSerName val="0"/>
          <c:showPercent val="0"/>
          <c:showBubbleSize val="0"/>
        </c:dLbls>
        <c:marker val="1"/>
        <c:smooth val="0"/>
        <c:axId val="1605064512"/>
        <c:axId val="130469215"/>
      </c:lineChart>
      <c:catAx>
        <c:axId val="1605064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0" i="0" u="none" strike="noStrike" baseline="0">
                    <a:solidFill>
                      <a:schemeClr val="tx1"/>
                    </a:solidFill>
                    <a:effectLst/>
                    <a:latin typeface="Times New Roman" panose="02020603050405020304" pitchFamily="18" charset="0"/>
                    <a:cs typeface="Times New Roman" panose="02020603050405020304" pitchFamily="18" charset="0"/>
                  </a:rPr>
                  <a:t>Months</a:t>
                </a:r>
                <a:endParaRPr lang="en-US" sz="140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69215"/>
        <c:crosses val="autoZero"/>
        <c:auto val="1"/>
        <c:lblAlgn val="ctr"/>
        <c:lblOffset val="100"/>
        <c:noMultiLvlLbl val="0"/>
      </c:catAx>
      <c:valAx>
        <c:axId val="130469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0" i="0" u="none" strike="noStrike" baseline="0">
                    <a:solidFill>
                      <a:schemeClr val="tx1"/>
                    </a:solidFill>
                    <a:effectLst/>
                    <a:latin typeface="Times New Roman" panose="02020603050405020304" pitchFamily="18" charset="0"/>
                    <a:cs typeface="Times New Roman" panose="02020603050405020304" pitchFamily="18" charset="0"/>
                  </a:rPr>
                  <a:t>Defect Rate (p)</a:t>
                </a:r>
                <a:endParaRPr lang="en-US" sz="1400" b="0" i="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064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latin typeface="Times New Roman" panose="02020603050405020304" pitchFamily="18" charset="0"/>
                <a:cs typeface="Times New Roman" panose="02020603050405020304" pitchFamily="18" charset="0"/>
              </a:rPr>
              <a:t>Moving Average: Actual Demand VS Forecast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v>Demand</c:v>
          </c:tx>
          <c:spPr>
            <a:ln w="28575" cap="rnd">
              <a:solidFill>
                <a:schemeClr val="accent1"/>
              </a:solidFill>
              <a:round/>
            </a:ln>
            <a:effectLst/>
          </c:spPr>
          <c:marker>
            <c:symbol val="none"/>
          </c:marker>
          <c:val>
            <c:numRef>
              <c:f>Sheet2!$B$23:$B$31</c:f>
              <c:numCache>
                <c:formatCode>General</c:formatCode>
                <c:ptCount val="9"/>
                <c:pt idx="0">
                  <c:v>1714</c:v>
                </c:pt>
                <c:pt idx="1">
                  <c:v>1503</c:v>
                </c:pt>
                <c:pt idx="2">
                  <c:v>1701</c:v>
                </c:pt>
                <c:pt idx="3">
                  <c:v>1464</c:v>
                </c:pt>
                <c:pt idx="4">
                  <c:v>1828</c:v>
                </c:pt>
                <c:pt idx="5">
                  <c:v>1809</c:v>
                </c:pt>
                <c:pt idx="6">
                  <c:v>1795</c:v>
                </c:pt>
                <c:pt idx="7">
                  <c:v>1485</c:v>
                </c:pt>
                <c:pt idx="8">
                  <c:v>1789</c:v>
                </c:pt>
              </c:numCache>
            </c:numRef>
          </c:val>
          <c:smooth val="0"/>
          <c:extLst>
            <c:ext xmlns:c16="http://schemas.microsoft.com/office/drawing/2014/chart" uri="{C3380CC4-5D6E-409C-BE32-E72D297353CC}">
              <c16:uniqueId val="{00000000-0603-4957-BB43-5738F1D34DBC}"/>
            </c:ext>
          </c:extLst>
        </c:ser>
        <c:ser>
          <c:idx val="1"/>
          <c:order val="1"/>
          <c:tx>
            <c:v>Forecast</c:v>
          </c:tx>
          <c:spPr>
            <a:ln w="28575" cap="rnd">
              <a:solidFill>
                <a:schemeClr val="accent2"/>
              </a:solidFill>
              <a:round/>
            </a:ln>
            <a:effectLst/>
          </c:spPr>
          <c:marker>
            <c:symbol val="none"/>
          </c:marker>
          <c:val>
            <c:numRef>
              <c:f>Sheet2!$D$23:$D$31</c:f>
              <c:numCache>
                <c:formatCode>0.00</c:formatCode>
                <c:ptCount val="9"/>
                <c:pt idx="0">
                  <c:v>1733.3333333333333</c:v>
                </c:pt>
                <c:pt idx="1">
                  <c:v>1814.6666666666667</c:v>
                </c:pt>
                <c:pt idx="2">
                  <c:v>1704</c:v>
                </c:pt>
                <c:pt idx="3">
                  <c:v>1639.3333333333333</c:v>
                </c:pt>
                <c:pt idx="4">
                  <c:v>1556</c:v>
                </c:pt>
                <c:pt idx="5">
                  <c:v>1664.3333333333333</c:v>
                </c:pt>
                <c:pt idx="6">
                  <c:v>1700.3333333333333</c:v>
                </c:pt>
                <c:pt idx="7">
                  <c:v>1810.6666666666667</c:v>
                </c:pt>
                <c:pt idx="8">
                  <c:v>1696.3333333333333</c:v>
                </c:pt>
              </c:numCache>
            </c:numRef>
          </c:val>
          <c:smooth val="0"/>
          <c:extLst>
            <c:ext xmlns:c16="http://schemas.microsoft.com/office/drawing/2014/chart" uri="{C3380CC4-5D6E-409C-BE32-E72D297353CC}">
              <c16:uniqueId val="{00000001-0603-4957-BB43-5738F1D34DBC}"/>
            </c:ext>
          </c:extLst>
        </c:ser>
        <c:dLbls>
          <c:showLegendKey val="0"/>
          <c:showVal val="0"/>
          <c:showCatName val="0"/>
          <c:showSerName val="0"/>
          <c:showPercent val="0"/>
          <c:showBubbleSize val="0"/>
        </c:dLbls>
        <c:smooth val="0"/>
        <c:axId val="251966640"/>
        <c:axId val="251969040"/>
      </c:lineChart>
      <c:catAx>
        <c:axId val="251966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600"/>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969040"/>
        <c:crosses val="autoZero"/>
        <c:auto val="1"/>
        <c:lblAlgn val="ctr"/>
        <c:lblOffset val="100"/>
        <c:noMultiLvlLbl val="0"/>
      </c:catAx>
      <c:valAx>
        <c:axId val="25196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0" i="0" u="none" strike="noStrike" kern="1200" baseline="0">
                    <a:solidFill>
                      <a:schemeClr val="tx1"/>
                    </a:solidFill>
                    <a:latin typeface="Times New Roman" panose="02020603050405020304" pitchFamily="18" charset="0"/>
                    <a:cs typeface="Times New Roman" panose="02020603050405020304" pitchFamily="18" charset="0"/>
                  </a:rPr>
                  <a:t>Units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966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Linear Trend: Actual Demand VS 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v>Demand</c:v>
          </c:tx>
          <c:spPr>
            <a:ln w="28575" cap="rnd">
              <a:solidFill>
                <a:schemeClr val="accent1"/>
              </a:solidFill>
              <a:round/>
            </a:ln>
            <a:effectLst/>
          </c:spPr>
          <c:marker>
            <c:symbol val="none"/>
          </c:marker>
          <c:val>
            <c:numRef>
              <c:f>Sheet2!$B$37:$B$48</c:f>
              <c:numCache>
                <c:formatCode>General</c:formatCode>
                <c:ptCount val="12"/>
                <c:pt idx="0">
                  <c:v>1470</c:v>
                </c:pt>
                <c:pt idx="1">
                  <c:v>1835</c:v>
                </c:pt>
                <c:pt idx="2">
                  <c:v>1895</c:v>
                </c:pt>
                <c:pt idx="3">
                  <c:v>1714</c:v>
                </c:pt>
                <c:pt idx="4">
                  <c:v>1503</c:v>
                </c:pt>
                <c:pt idx="5">
                  <c:v>1701</c:v>
                </c:pt>
                <c:pt idx="6">
                  <c:v>1464</c:v>
                </c:pt>
                <c:pt idx="7">
                  <c:v>1828</c:v>
                </c:pt>
                <c:pt idx="8">
                  <c:v>1809</c:v>
                </c:pt>
                <c:pt idx="9">
                  <c:v>1795</c:v>
                </c:pt>
                <c:pt idx="10">
                  <c:v>1485</c:v>
                </c:pt>
                <c:pt idx="11">
                  <c:v>1789</c:v>
                </c:pt>
              </c:numCache>
            </c:numRef>
          </c:val>
          <c:smooth val="0"/>
          <c:extLst>
            <c:ext xmlns:c16="http://schemas.microsoft.com/office/drawing/2014/chart" uri="{C3380CC4-5D6E-409C-BE32-E72D297353CC}">
              <c16:uniqueId val="{00000000-2396-44B8-90E1-99B1CA92B907}"/>
            </c:ext>
          </c:extLst>
        </c:ser>
        <c:ser>
          <c:idx val="1"/>
          <c:order val="1"/>
          <c:tx>
            <c:v>Forecast</c:v>
          </c:tx>
          <c:spPr>
            <a:ln w="28575" cap="rnd">
              <a:solidFill>
                <a:schemeClr val="accent2"/>
              </a:solidFill>
              <a:round/>
            </a:ln>
            <a:effectLst/>
          </c:spPr>
          <c:marker>
            <c:symbol val="none"/>
          </c:marker>
          <c:val>
            <c:numRef>
              <c:f>Sheet2!$D$37:$D$48</c:f>
              <c:numCache>
                <c:formatCode>0.00000</c:formatCode>
                <c:ptCount val="12"/>
                <c:pt idx="0">
                  <c:v>1673.897435897436</c:v>
                </c:pt>
                <c:pt idx="1">
                  <c:v>1676.9463869463871</c:v>
                </c:pt>
                <c:pt idx="2">
                  <c:v>1679.9953379953381</c:v>
                </c:pt>
                <c:pt idx="3">
                  <c:v>1683.0442890442891</c:v>
                </c:pt>
                <c:pt idx="4">
                  <c:v>1686.0932400932402</c:v>
                </c:pt>
                <c:pt idx="5">
                  <c:v>1689.1421911421912</c:v>
                </c:pt>
                <c:pt idx="6">
                  <c:v>1692.1911421911423</c:v>
                </c:pt>
                <c:pt idx="7">
                  <c:v>1695.2400932400933</c:v>
                </c:pt>
                <c:pt idx="8">
                  <c:v>1698.2890442890443</c:v>
                </c:pt>
                <c:pt idx="9">
                  <c:v>1701.3379953379954</c:v>
                </c:pt>
                <c:pt idx="10">
                  <c:v>1704.3869463869464</c:v>
                </c:pt>
                <c:pt idx="11">
                  <c:v>1707.4358974358975</c:v>
                </c:pt>
              </c:numCache>
            </c:numRef>
          </c:val>
          <c:smooth val="0"/>
          <c:extLst>
            <c:ext xmlns:c16="http://schemas.microsoft.com/office/drawing/2014/chart" uri="{C3380CC4-5D6E-409C-BE32-E72D297353CC}">
              <c16:uniqueId val="{00000001-2396-44B8-90E1-99B1CA92B907}"/>
            </c:ext>
          </c:extLst>
        </c:ser>
        <c:dLbls>
          <c:showLegendKey val="0"/>
          <c:showVal val="0"/>
          <c:showCatName val="0"/>
          <c:showSerName val="0"/>
          <c:showPercent val="0"/>
          <c:showBubbleSize val="0"/>
        </c:dLbls>
        <c:smooth val="0"/>
        <c:axId val="1659556288"/>
        <c:axId val="1659564928"/>
      </c:lineChart>
      <c:catAx>
        <c:axId val="1659556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600" b="1"/>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564928"/>
        <c:crosses val="autoZero"/>
        <c:auto val="1"/>
        <c:lblAlgn val="ctr"/>
        <c:lblOffset val="100"/>
        <c:noMultiLvlLbl val="0"/>
      </c:catAx>
      <c:valAx>
        <c:axId val="1659564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600" b="1"/>
                  <a:t>Units</a:t>
                </a:r>
                <a:r>
                  <a:rPr lang="en-GB" sz="1600" b="1" baseline="0"/>
                  <a:t> Sold</a:t>
                </a:r>
                <a:endParaRPr lang="en-GB" sz="16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556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tx1"/>
                </a:solidFill>
                <a:effectLst/>
                <a:latin typeface="Times New Roman" panose="02020603050405020304" pitchFamily="18" charset="0"/>
                <a:cs typeface="Times New Roman" panose="02020603050405020304" pitchFamily="18" charset="0"/>
              </a:rPr>
              <a:t>Capacity Utilization by Month</a:t>
            </a:r>
            <a:endParaRPr lang="en-US" sz="1600" b="1" i="0" u="none" strike="noStrike" kern="1200" spc="0" baseline="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Sheet2!$L$3:$L$14</c:f>
              <c:numCache>
                <c:formatCode>General</c:formatCode>
                <c:ptCount val="12"/>
                <c:pt idx="0">
                  <c:v>0.80469483568075117</c:v>
                </c:pt>
                <c:pt idx="1">
                  <c:v>0.78561287269285374</c:v>
                </c:pt>
                <c:pt idx="2">
                  <c:v>0.82255781028787167</c:v>
                </c:pt>
                <c:pt idx="3">
                  <c:v>0.97250132205182438</c:v>
                </c:pt>
                <c:pt idx="4">
                  <c:v>0.99296482412060305</c:v>
                </c:pt>
                <c:pt idx="5">
                  <c:v>0.83840864440078589</c:v>
                </c:pt>
                <c:pt idx="6">
                  <c:v>1.0099557522123894</c:v>
                </c:pt>
                <c:pt idx="7">
                  <c:v>0.84291187739463602</c:v>
                </c:pt>
                <c:pt idx="8">
                  <c:v>0.96150049358341561</c:v>
                </c:pt>
                <c:pt idx="9">
                  <c:v>0.90118152524167561</c:v>
                </c:pt>
                <c:pt idx="10">
                  <c:v>0.8256611165523996</c:v>
                </c:pt>
                <c:pt idx="11">
                  <c:v>0.75780158360503025</c:v>
                </c:pt>
              </c:numCache>
            </c:numRef>
          </c:val>
          <c:extLst>
            <c:ext xmlns:c16="http://schemas.microsoft.com/office/drawing/2014/chart" uri="{C3380CC4-5D6E-409C-BE32-E72D297353CC}">
              <c16:uniqueId val="{00000000-E663-405A-A37D-A600857C1531}"/>
            </c:ext>
          </c:extLst>
        </c:ser>
        <c:dLbls>
          <c:showLegendKey val="0"/>
          <c:showVal val="0"/>
          <c:showCatName val="0"/>
          <c:showSerName val="0"/>
          <c:showPercent val="0"/>
          <c:showBubbleSize val="0"/>
        </c:dLbls>
        <c:gapWidth val="219"/>
        <c:overlap val="-27"/>
        <c:axId val="3082992"/>
        <c:axId val="3083472"/>
      </c:barChart>
      <c:catAx>
        <c:axId val="308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600" b="1"/>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472"/>
        <c:crosses val="autoZero"/>
        <c:auto val="1"/>
        <c:lblAlgn val="ctr"/>
        <c:lblOffset val="100"/>
        <c:noMultiLvlLbl val="0"/>
      </c:catAx>
      <c:valAx>
        <c:axId val="3083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i="0" u="none" strike="noStrike" kern="1200" baseline="0">
                    <a:solidFill>
                      <a:schemeClr val="tx1"/>
                    </a:solidFill>
                    <a:latin typeface="Times New Roman" panose="02020603050405020304" pitchFamily="18" charset="0"/>
                    <a:cs typeface="Times New Roman" panose="02020603050405020304" pitchFamily="18" charset="0"/>
                  </a:rPr>
                  <a:t>Capacity_Utilization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tx1"/>
                </a:solidFill>
                <a:effectLst/>
                <a:latin typeface="Times New Roman" panose="02020603050405020304" pitchFamily="18" charset="0"/>
                <a:cs typeface="Times New Roman" panose="02020603050405020304" pitchFamily="18" charset="0"/>
              </a:rPr>
              <a:t>P-Chart for Defect Rate</a:t>
            </a:r>
            <a:endParaRPr lang="en-US" sz="1600" b="1" i="0" u="none" strike="noStrike" kern="1200" spc="0" baseline="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Defect Rate</c:v>
          </c:tx>
          <c:spPr>
            <a:ln w="28575" cap="rnd">
              <a:solidFill>
                <a:schemeClr val="accent1"/>
              </a:solidFill>
              <a:round/>
            </a:ln>
            <a:effectLst/>
          </c:spPr>
          <c:marker>
            <c:symbol val="none"/>
          </c:marker>
          <c:cat>
            <c:strRef>
              <c:f>Sheet2!$A$3:$A$14</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Sheet2!$G$3:$G$14</c:f>
              <c:numCache>
                <c:formatCode>General</c:formatCode>
                <c:ptCount val="12"/>
                <c:pt idx="0">
                  <c:v>4.3400000000000001E-2</c:v>
                </c:pt>
                <c:pt idx="1">
                  <c:v>5.9799999999999999E-2</c:v>
                </c:pt>
                <c:pt idx="2">
                  <c:v>4.1500000000000002E-2</c:v>
                </c:pt>
                <c:pt idx="3">
                  <c:v>3.2899999999999999E-2</c:v>
                </c:pt>
                <c:pt idx="4">
                  <c:v>4.7E-2</c:v>
                </c:pt>
                <c:pt idx="5">
                  <c:v>3.9800000000000002E-2</c:v>
                </c:pt>
                <c:pt idx="6">
                  <c:v>3.2199999999999999E-2</c:v>
                </c:pt>
                <c:pt idx="7">
                  <c:v>5.7799999999999997E-2</c:v>
                </c:pt>
                <c:pt idx="8">
                  <c:v>5.6599999999999998E-2</c:v>
                </c:pt>
                <c:pt idx="9">
                  <c:v>4.3200000000000002E-2</c:v>
                </c:pt>
                <c:pt idx="10">
                  <c:v>3.2300000000000002E-2</c:v>
                </c:pt>
                <c:pt idx="11">
                  <c:v>5.6500000000000002E-2</c:v>
                </c:pt>
              </c:numCache>
            </c:numRef>
          </c:val>
          <c:smooth val="0"/>
          <c:extLst>
            <c:ext xmlns:c16="http://schemas.microsoft.com/office/drawing/2014/chart" uri="{C3380CC4-5D6E-409C-BE32-E72D297353CC}">
              <c16:uniqueId val="{00000000-3ABA-4D67-994D-0DE1A37DDC69}"/>
            </c:ext>
          </c:extLst>
        </c:ser>
        <c:ser>
          <c:idx val="1"/>
          <c:order val="1"/>
          <c:tx>
            <c:v>CL</c:v>
          </c:tx>
          <c:spPr>
            <a:ln w="28575" cap="rnd">
              <a:solidFill>
                <a:schemeClr val="accent2"/>
              </a:solidFill>
              <a:round/>
            </a:ln>
            <a:effectLst/>
          </c:spPr>
          <c:marker>
            <c:symbol val="none"/>
          </c:marker>
          <c:cat>
            <c:strRef>
              <c:f>Sheet2!$A$3:$A$14</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Sheet2!$M$3:$M$14</c:f>
              <c:numCache>
                <c:formatCode>General</c:formatCode>
                <c:ptCount val="12"/>
                <c:pt idx="0">
                  <c:v>4.5291666666666668E-2</c:v>
                </c:pt>
                <c:pt idx="1">
                  <c:v>4.5291666666666668E-2</c:v>
                </c:pt>
                <c:pt idx="2">
                  <c:v>4.5291666666666668E-2</c:v>
                </c:pt>
                <c:pt idx="3">
                  <c:v>4.5291666666666668E-2</c:v>
                </c:pt>
                <c:pt idx="4">
                  <c:v>4.5291666666666668E-2</c:v>
                </c:pt>
                <c:pt idx="5">
                  <c:v>4.5291666666666668E-2</c:v>
                </c:pt>
                <c:pt idx="6">
                  <c:v>4.5291666666666668E-2</c:v>
                </c:pt>
                <c:pt idx="7">
                  <c:v>4.5291666666666668E-2</c:v>
                </c:pt>
                <c:pt idx="8">
                  <c:v>4.5291666666666668E-2</c:v>
                </c:pt>
                <c:pt idx="9">
                  <c:v>4.5291666666666668E-2</c:v>
                </c:pt>
                <c:pt idx="10">
                  <c:v>4.5291666666666668E-2</c:v>
                </c:pt>
                <c:pt idx="11">
                  <c:v>4.5291666666666668E-2</c:v>
                </c:pt>
              </c:numCache>
            </c:numRef>
          </c:val>
          <c:smooth val="0"/>
          <c:extLst>
            <c:ext xmlns:c16="http://schemas.microsoft.com/office/drawing/2014/chart" uri="{C3380CC4-5D6E-409C-BE32-E72D297353CC}">
              <c16:uniqueId val="{00000001-3ABA-4D67-994D-0DE1A37DDC69}"/>
            </c:ext>
          </c:extLst>
        </c:ser>
        <c:ser>
          <c:idx val="2"/>
          <c:order val="2"/>
          <c:tx>
            <c:v>UCL</c:v>
          </c:tx>
          <c:spPr>
            <a:ln w="28575" cap="rnd">
              <a:solidFill>
                <a:schemeClr val="accent3"/>
              </a:solidFill>
              <a:round/>
            </a:ln>
            <a:effectLst/>
          </c:spPr>
          <c:marker>
            <c:symbol val="none"/>
          </c:marker>
          <c:cat>
            <c:strRef>
              <c:f>Sheet2!$A$3:$A$14</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Sheet2!$N$3:$N$14</c:f>
              <c:numCache>
                <c:formatCode>General</c:formatCode>
                <c:ptCount val="12"/>
                <c:pt idx="0">
                  <c:v>5.9240913678154421E-2</c:v>
                </c:pt>
                <c:pt idx="1">
                  <c:v>5.9240913678154421E-2</c:v>
                </c:pt>
                <c:pt idx="2">
                  <c:v>5.9240913678154421E-2</c:v>
                </c:pt>
                <c:pt idx="3">
                  <c:v>5.9240913678154421E-2</c:v>
                </c:pt>
                <c:pt idx="4">
                  <c:v>5.9240913678154421E-2</c:v>
                </c:pt>
                <c:pt idx="5">
                  <c:v>5.9240913678154421E-2</c:v>
                </c:pt>
                <c:pt idx="6">
                  <c:v>5.9240913678154421E-2</c:v>
                </c:pt>
                <c:pt idx="7">
                  <c:v>5.9240913678154421E-2</c:v>
                </c:pt>
                <c:pt idx="8">
                  <c:v>5.9240913678154421E-2</c:v>
                </c:pt>
                <c:pt idx="9">
                  <c:v>5.9240913678154421E-2</c:v>
                </c:pt>
                <c:pt idx="10">
                  <c:v>5.9240913678154421E-2</c:v>
                </c:pt>
                <c:pt idx="11">
                  <c:v>5.9240913678154421E-2</c:v>
                </c:pt>
              </c:numCache>
            </c:numRef>
          </c:val>
          <c:smooth val="0"/>
          <c:extLst>
            <c:ext xmlns:c16="http://schemas.microsoft.com/office/drawing/2014/chart" uri="{C3380CC4-5D6E-409C-BE32-E72D297353CC}">
              <c16:uniqueId val="{00000002-3ABA-4D67-994D-0DE1A37DDC69}"/>
            </c:ext>
          </c:extLst>
        </c:ser>
        <c:ser>
          <c:idx val="3"/>
          <c:order val="3"/>
          <c:tx>
            <c:v>LCL</c:v>
          </c:tx>
          <c:spPr>
            <a:ln w="28575" cap="rnd">
              <a:solidFill>
                <a:schemeClr val="accent4"/>
              </a:solidFill>
              <a:round/>
            </a:ln>
            <a:effectLst/>
          </c:spPr>
          <c:marker>
            <c:symbol val="none"/>
          </c:marker>
          <c:cat>
            <c:strRef>
              <c:f>Sheet2!$A$3:$A$14</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Sheet2!$O$3:$O$14</c:f>
              <c:numCache>
                <c:formatCode>General</c:formatCode>
                <c:ptCount val="12"/>
                <c:pt idx="0">
                  <c:v>3.1342419655178914E-2</c:v>
                </c:pt>
                <c:pt idx="1">
                  <c:v>3.1342419655178914E-2</c:v>
                </c:pt>
                <c:pt idx="2">
                  <c:v>3.1342419655178914E-2</c:v>
                </c:pt>
                <c:pt idx="3">
                  <c:v>3.1342419655178914E-2</c:v>
                </c:pt>
                <c:pt idx="4">
                  <c:v>3.1342419655178914E-2</c:v>
                </c:pt>
                <c:pt idx="5">
                  <c:v>3.1342419655178914E-2</c:v>
                </c:pt>
                <c:pt idx="6">
                  <c:v>3.1342419655178914E-2</c:v>
                </c:pt>
                <c:pt idx="7">
                  <c:v>3.1342419655178914E-2</c:v>
                </c:pt>
                <c:pt idx="8">
                  <c:v>3.1342419655178914E-2</c:v>
                </c:pt>
                <c:pt idx="9">
                  <c:v>3.1342419655178914E-2</c:v>
                </c:pt>
                <c:pt idx="10">
                  <c:v>3.1342419655178914E-2</c:v>
                </c:pt>
                <c:pt idx="11">
                  <c:v>3.1342419655178914E-2</c:v>
                </c:pt>
              </c:numCache>
            </c:numRef>
          </c:val>
          <c:smooth val="0"/>
          <c:extLst>
            <c:ext xmlns:c16="http://schemas.microsoft.com/office/drawing/2014/chart" uri="{C3380CC4-5D6E-409C-BE32-E72D297353CC}">
              <c16:uniqueId val="{00000003-3ABA-4D67-994D-0DE1A37DDC69}"/>
            </c:ext>
          </c:extLst>
        </c:ser>
        <c:dLbls>
          <c:showLegendKey val="0"/>
          <c:showVal val="0"/>
          <c:showCatName val="0"/>
          <c:showSerName val="0"/>
          <c:showPercent val="0"/>
          <c:showBubbleSize val="0"/>
        </c:dLbls>
        <c:smooth val="0"/>
        <c:axId val="1666715968"/>
        <c:axId val="1666718848"/>
      </c:lineChart>
      <c:catAx>
        <c:axId val="1666715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600" b="1"/>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718848"/>
        <c:crosses val="autoZero"/>
        <c:auto val="1"/>
        <c:lblAlgn val="ctr"/>
        <c:lblOffset val="100"/>
        <c:noMultiLvlLbl val="0"/>
      </c:catAx>
      <c:valAx>
        <c:axId val="1666718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i="0" u="none" strike="noStrike" kern="1200" baseline="0">
                    <a:solidFill>
                      <a:schemeClr val="tx1"/>
                    </a:solidFill>
                    <a:effectLst/>
                    <a:latin typeface="Times New Roman" panose="02020603050405020304" pitchFamily="18" charset="0"/>
                    <a:cs typeface="Times New Roman" panose="02020603050405020304" pitchFamily="18" charset="0"/>
                  </a:rPr>
                  <a:t>Defect Rate (p)</a:t>
                </a:r>
                <a:endParaRPr lang="en-US" sz="1600" b="1" i="0" u="none" strike="noStrike" kern="1200" baseline="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715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Moving</a:t>
            </a:r>
            <a:r>
              <a:rPr lang="en-GB" baseline="0"/>
              <a:t> Average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cked"/>
        <c:varyColors val="0"/>
        <c:ser>
          <c:idx val="0"/>
          <c:order val="0"/>
          <c:tx>
            <c:v>Actual</c:v>
          </c:tx>
          <c:spPr>
            <a:ln w="28575" cap="rnd">
              <a:solidFill>
                <a:schemeClr val="accent1"/>
              </a:solidFill>
              <a:round/>
            </a:ln>
            <a:effectLst/>
          </c:spPr>
          <c:marker>
            <c:symbol val="none"/>
          </c:marker>
          <c:val>
            <c:numRef>
              <c:f>Sheet3!$B$23:$B$31</c:f>
              <c:numCache>
                <c:formatCode>General</c:formatCode>
                <c:ptCount val="9"/>
                <c:pt idx="0">
                  <c:v>1416</c:v>
                </c:pt>
                <c:pt idx="1">
                  <c:v>1451</c:v>
                </c:pt>
                <c:pt idx="2">
                  <c:v>1387</c:v>
                </c:pt>
                <c:pt idx="3">
                  <c:v>1393</c:v>
                </c:pt>
                <c:pt idx="4">
                  <c:v>1184</c:v>
                </c:pt>
                <c:pt idx="5">
                  <c:v>1150</c:v>
                </c:pt>
                <c:pt idx="6">
                  <c:v>1401</c:v>
                </c:pt>
                <c:pt idx="7">
                  <c:v>1135</c:v>
                </c:pt>
                <c:pt idx="8">
                  <c:v>1522</c:v>
                </c:pt>
              </c:numCache>
            </c:numRef>
          </c:val>
          <c:smooth val="0"/>
          <c:extLst>
            <c:ext xmlns:c16="http://schemas.microsoft.com/office/drawing/2014/chart" uri="{C3380CC4-5D6E-409C-BE32-E72D297353CC}">
              <c16:uniqueId val="{00000000-E1DF-4DC9-8B18-06123CF1752D}"/>
            </c:ext>
          </c:extLst>
        </c:ser>
        <c:ser>
          <c:idx val="1"/>
          <c:order val="1"/>
          <c:tx>
            <c:v>Forecasts</c:v>
          </c:tx>
          <c:spPr>
            <a:ln w="28575" cap="rnd">
              <a:solidFill>
                <a:schemeClr val="accent2"/>
              </a:solidFill>
              <a:round/>
            </a:ln>
            <a:effectLst/>
          </c:spPr>
          <c:marker>
            <c:symbol val="none"/>
          </c:marker>
          <c:val>
            <c:numRef>
              <c:f>Sheet3!$D$23:$D$31</c:f>
              <c:numCache>
                <c:formatCode>0.00</c:formatCode>
                <c:ptCount val="9"/>
                <c:pt idx="0">
                  <c:v>1253</c:v>
                </c:pt>
                <c:pt idx="1">
                  <c:v>1222.3333333333333</c:v>
                </c:pt>
                <c:pt idx="2">
                  <c:v>1349</c:v>
                </c:pt>
                <c:pt idx="3">
                  <c:v>1418</c:v>
                </c:pt>
                <c:pt idx="4">
                  <c:v>1410.3333333333333</c:v>
                </c:pt>
                <c:pt idx="5">
                  <c:v>1321.3333333333333</c:v>
                </c:pt>
                <c:pt idx="6">
                  <c:v>1242.3333333333333</c:v>
                </c:pt>
                <c:pt idx="7">
                  <c:v>1245</c:v>
                </c:pt>
                <c:pt idx="8">
                  <c:v>1228.6666666666667</c:v>
                </c:pt>
              </c:numCache>
            </c:numRef>
          </c:val>
          <c:smooth val="0"/>
          <c:extLst>
            <c:ext xmlns:c16="http://schemas.microsoft.com/office/drawing/2014/chart" uri="{C3380CC4-5D6E-409C-BE32-E72D297353CC}">
              <c16:uniqueId val="{00000001-E1DF-4DC9-8B18-06123CF1752D}"/>
            </c:ext>
          </c:extLst>
        </c:ser>
        <c:dLbls>
          <c:showLegendKey val="0"/>
          <c:showVal val="0"/>
          <c:showCatName val="0"/>
          <c:showSerName val="0"/>
          <c:showPercent val="0"/>
          <c:showBubbleSize val="0"/>
        </c:dLbls>
        <c:smooth val="0"/>
        <c:axId val="660853200"/>
        <c:axId val="660852872"/>
      </c:lineChart>
      <c:catAx>
        <c:axId val="66085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852872"/>
        <c:crosses val="autoZero"/>
        <c:auto val="1"/>
        <c:lblAlgn val="ctr"/>
        <c:lblOffset val="100"/>
        <c:noMultiLvlLbl val="0"/>
      </c:catAx>
      <c:valAx>
        <c:axId val="660852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Units</a:t>
                </a:r>
                <a:r>
                  <a:rPr lang="en-GB" baseline="0"/>
                  <a:t> Sold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85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Linear</a:t>
            </a:r>
            <a:r>
              <a:rPr lang="en-GB" baseline="0"/>
              <a:t>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cked"/>
        <c:varyColors val="0"/>
        <c:ser>
          <c:idx val="0"/>
          <c:order val="0"/>
          <c:tx>
            <c:v>Actual</c:v>
          </c:tx>
          <c:spPr>
            <a:ln w="28575" cap="rnd">
              <a:solidFill>
                <a:schemeClr val="accent1"/>
              </a:solidFill>
              <a:round/>
            </a:ln>
            <a:effectLst/>
          </c:spPr>
          <c:marker>
            <c:symbol val="none"/>
          </c:marker>
          <c:val>
            <c:numRef>
              <c:f>Sheet3!$B$40:$B$48</c:f>
              <c:numCache>
                <c:formatCode>General</c:formatCode>
                <c:ptCount val="9"/>
                <c:pt idx="0">
                  <c:v>1416</c:v>
                </c:pt>
                <c:pt idx="1">
                  <c:v>1451</c:v>
                </c:pt>
                <c:pt idx="2">
                  <c:v>1387</c:v>
                </c:pt>
                <c:pt idx="3">
                  <c:v>1393</c:v>
                </c:pt>
                <c:pt idx="4">
                  <c:v>1184</c:v>
                </c:pt>
                <c:pt idx="5">
                  <c:v>1150</c:v>
                </c:pt>
                <c:pt idx="6">
                  <c:v>1401</c:v>
                </c:pt>
                <c:pt idx="7">
                  <c:v>1135</c:v>
                </c:pt>
                <c:pt idx="8">
                  <c:v>1522</c:v>
                </c:pt>
              </c:numCache>
            </c:numRef>
          </c:val>
          <c:smooth val="0"/>
          <c:extLst>
            <c:ext xmlns:c16="http://schemas.microsoft.com/office/drawing/2014/chart" uri="{C3380CC4-5D6E-409C-BE32-E72D297353CC}">
              <c16:uniqueId val="{00000000-A2CB-42AF-840E-E246E3CE1DC5}"/>
            </c:ext>
          </c:extLst>
        </c:ser>
        <c:ser>
          <c:idx val="1"/>
          <c:order val="1"/>
          <c:tx>
            <c:v>Forecasts</c:v>
          </c:tx>
          <c:spPr>
            <a:ln w="28575" cap="rnd">
              <a:solidFill>
                <a:schemeClr val="accent2"/>
              </a:solidFill>
              <a:round/>
            </a:ln>
            <a:effectLst/>
          </c:spPr>
          <c:marker>
            <c:symbol val="none"/>
          </c:marker>
          <c:val>
            <c:numRef>
              <c:f>Sheet3!$D$40:$D$48</c:f>
              <c:numCache>
                <c:formatCode>0.00</c:formatCode>
                <c:ptCount val="9"/>
                <c:pt idx="0">
                  <c:v>1315.1713286713286</c:v>
                </c:pt>
                <c:pt idx="1">
                  <c:v>1315.7027972027972</c:v>
                </c:pt>
                <c:pt idx="2">
                  <c:v>1316.2342657342656</c:v>
                </c:pt>
                <c:pt idx="3">
                  <c:v>1316.7657342657342</c:v>
                </c:pt>
                <c:pt idx="4">
                  <c:v>1317.2972027972028</c:v>
                </c:pt>
                <c:pt idx="5">
                  <c:v>1317.8286713286714</c:v>
                </c:pt>
                <c:pt idx="6">
                  <c:v>1318.3601398601397</c:v>
                </c:pt>
                <c:pt idx="7">
                  <c:v>1318.8916083916083</c:v>
                </c:pt>
                <c:pt idx="8">
                  <c:v>1319.4230769230769</c:v>
                </c:pt>
              </c:numCache>
            </c:numRef>
          </c:val>
          <c:smooth val="0"/>
          <c:extLst>
            <c:ext xmlns:c16="http://schemas.microsoft.com/office/drawing/2014/chart" uri="{C3380CC4-5D6E-409C-BE32-E72D297353CC}">
              <c16:uniqueId val="{00000001-A2CB-42AF-840E-E246E3CE1DC5}"/>
            </c:ext>
          </c:extLst>
        </c:ser>
        <c:dLbls>
          <c:showLegendKey val="0"/>
          <c:showVal val="0"/>
          <c:showCatName val="0"/>
          <c:showSerName val="0"/>
          <c:showPercent val="0"/>
          <c:showBubbleSize val="0"/>
        </c:dLbls>
        <c:smooth val="0"/>
        <c:axId val="660804328"/>
        <c:axId val="660805312"/>
      </c:lineChart>
      <c:catAx>
        <c:axId val="6608043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805312"/>
        <c:crosses val="autoZero"/>
        <c:auto val="1"/>
        <c:lblAlgn val="ctr"/>
        <c:lblOffset val="100"/>
        <c:noMultiLvlLbl val="0"/>
      </c:catAx>
      <c:valAx>
        <c:axId val="66080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804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r>
              <a:rPr lang="en-US" sz="1200" b="1" i="0" baseline="0">
                <a:effectLst/>
              </a:rPr>
              <a:t>Capacity Utilization by Month</a:t>
            </a:r>
            <a:endParaRPr lang="en-GB" sz="12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200">
                <a:solidFill>
                  <a:sysClr val="windowText" lastClr="000000">
                    <a:lumMod val="65000"/>
                    <a:lumOff val="35000"/>
                  </a:sysClr>
                </a:solidFill>
              </a:defRPr>
            </a:pPr>
            <a:endParaRPr lang="en-GB" sz="12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val>
            <c:numRef>
              <c:f>Sheet3!$L$3:$L$14</c:f>
              <c:numCache>
                <c:formatCode>0%</c:formatCode>
                <c:ptCount val="12"/>
                <c:pt idx="0">
                  <c:v>0.95284469502819069</c:v>
                </c:pt>
                <c:pt idx="1">
                  <c:v>0.83315392895586649</c:v>
                </c:pt>
                <c:pt idx="2">
                  <c:v>0.92980671414038663</c:v>
                </c:pt>
                <c:pt idx="3">
                  <c:v>0.90691489361702127</c:v>
                </c:pt>
                <c:pt idx="4">
                  <c:v>0.82213629772837116</c:v>
                </c:pt>
                <c:pt idx="5">
                  <c:v>0.94692460317460314</c:v>
                </c:pt>
                <c:pt idx="6">
                  <c:v>1.0585392051557465</c:v>
                </c:pt>
                <c:pt idx="7">
                  <c:v>1.0463973799126638</c:v>
                </c:pt>
                <c:pt idx="8">
                  <c:v>0.83592989289191821</c:v>
                </c:pt>
                <c:pt idx="9">
                  <c:v>0.72930955647005025</c:v>
                </c:pt>
                <c:pt idx="10">
                  <c:v>0.82966147232670606</c:v>
                </c:pt>
                <c:pt idx="11">
                  <c:v>0.8658088235294118</c:v>
                </c:pt>
              </c:numCache>
            </c:numRef>
          </c:val>
          <c:extLst>
            <c:ext xmlns:c16="http://schemas.microsoft.com/office/drawing/2014/chart" uri="{C3380CC4-5D6E-409C-BE32-E72D297353CC}">
              <c16:uniqueId val="{00000000-E86E-4F63-8F8C-9359F0CCF95F}"/>
            </c:ext>
          </c:extLst>
        </c:ser>
        <c:dLbls>
          <c:showLegendKey val="0"/>
          <c:showVal val="0"/>
          <c:showCatName val="0"/>
          <c:showSerName val="0"/>
          <c:showPercent val="0"/>
          <c:showBubbleSize val="0"/>
        </c:dLbls>
        <c:gapWidth val="219"/>
        <c:overlap val="-27"/>
        <c:axId val="455021048"/>
        <c:axId val="455026624"/>
      </c:barChart>
      <c:catAx>
        <c:axId val="455021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026624"/>
        <c:crosses val="autoZero"/>
        <c:auto val="1"/>
        <c:lblAlgn val="ctr"/>
        <c:lblOffset val="100"/>
        <c:noMultiLvlLbl val="0"/>
      </c:catAx>
      <c:valAx>
        <c:axId val="455026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Capacity</a:t>
                </a:r>
                <a:r>
                  <a:rPr lang="en-GB" baseline="0"/>
                  <a:t> Utilization</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021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P-Chart</a:t>
            </a:r>
            <a:r>
              <a:rPr lang="en-GB" baseline="0"/>
              <a:t> for Defect Rates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Sheet3!$G$2</c:f>
              <c:strCache>
                <c:ptCount val="1"/>
                <c:pt idx="0">
                  <c:v>Defect Rate</c:v>
                </c:pt>
              </c:strCache>
            </c:strRef>
          </c:tx>
          <c:spPr>
            <a:ln w="28575" cap="rnd">
              <a:solidFill>
                <a:schemeClr val="accent1"/>
              </a:solidFill>
              <a:round/>
            </a:ln>
            <a:effectLst/>
          </c:spPr>
          <c:marker>
            <c:symbol val="none"/>
          </c:marker>
          <c:val>
            <c:numRef>
              <c:f>Sheet3!$G$3:$G$14</c:f>
              <c:numCache>
                <c:formatCode>General</c:formatCode>
                <c:ptCount val="12"/>
                <c:pt idx="0">
                  <c:v>0.04</c:v>
                </c:pt>
                <c:pt idx="1">
                  <c:v>4.2999999999999997E-2</c:v>
                </c:pt>
                <c:pt idx="2">
                  <c:v>5.04E-2</c:v>
                </c:pt>
                <c:pt idx="3">
                  <c:v>3.1E-2</c:v>
                </c:pt>
                <c:pt idx="4">
                  <c:v>4.3499999999999997E-2</c:v>
                </c:pt>
                <c:pt idx="5">
                  <c:v>5.4899999999999997E-2</c:v>
                </c:pt>
                <c:pt idx="6">
                  <c:v>3.5999999999999997E-2</c:v>
                </c:pt>
                <c:pt idx="7">
                  <c:v>4.87E-2</c:v>
                </c:pt>
                <c:pt idx="8">
                  <c:v>5.28E-2</c:v>
                </c:pt>
                <c:pt idx="9">
                  <c:v>4.4299999999999999E-2</c:v>
                </c:pt>
                <c:pt idx="10">
                  <c:v>5.79E-2</c:v>
                </c:pt>
                <c:pt idx="11">
                  <c:v>5.7200000000000001E-2</c:v>
                </c:pt>
              </c:numCache>
            </c:numRef>
          </c:val>
          <c:smooth val="0"/>
          <c:extLst>
            <c:ext xmlns:c16="http://schemas.microsoft.com/office/drawing/2014/chart" uri="{C3380CC4-5D6E-409C-BE32-E72D297353CC}">
              <c16:uniqueId val="{00000000-3F14-48E8-BC02-45AB5FDDECD9}"/>
            </c:ext>
          </c:extLst>
        </c:ser>
        <c:ser>
          <c:idx val="1"/>
          <c:order val="1"/>
          <c:tx>
            <c:strRef>
              <c:f>Sheet3!$M$2</c:f>
              <c:strCache>
                <c:ptCount val="1"/>
                <c:pt idx="0">
                  <c:v>Center Line</c:v>
                </c:pt>
              </c:strCache>
            </c:strRef>
          </c:tx>
          <c:spPr>
            <a:ln w="28575" cap="rnd">
              <a:solidFill>
                <a:schemeClr val="accent2"/>
              </a:solidFill>
              <a:round/>
            </a:ln>
            <a:effectLst/>
          </c:spPr>
          <c:marker>
            <c:symbol val="none"/>
          </c:marker>
          <c:val>
            <c:numRef>
              <c:f>Sheet3!$M$3:$M$14</c:f>
              <c:numCache>
                <c:formatCode>0.0000</c:formatCode>
                <c:ptCount val="12"/>
                <c:pt idx="0">
                  <c:v>4.6666666666666669E-2</c:v>
                </c:pt>
                <c:pt idx="1">
                  <c:v>4.6666666666666669E-2</c:v>
                </c:pt>
                <c:pt idx="2">
                  <c:v>4.6666666666666669E-2</c:v>
                </c:pt>
                <c:pt idx="3">
                  <c:v>4.6666666666666669E-2</c:v>
                </c:pt>
                <c:pt idx="4">
                  <c:v>4.6666666666666669E-2</c:v>
                </c:pt>
                <c:pt idx="5">
                  <c:v>4.6666666666666669E-2</c:v>
                </c:pt>
                <c:pt idx="6">
                  <c:v>4.6666666666666669E-2</c:v>
                </c:pt>
                <c:pt idx="7">
                  <c:v>4.6666666666666669E-2</c:v>
                </c:pt>
                <c:pt idx="8">
                  <c:v>4.6666666666666669E-2</c:v>
                </c:pt>
                <c:pt idx="9">
                  <c:v>4.6666666666666669E-2</c:v>
                </c:pt>
                <c:pt idx="10">
                  <c:v>4.6666666666666669E-2</c:v>
                </c:pt>
                <c:pt idx="11">
                  <c:v>4.6666666666666669E-2</c:v>
                </c:pt>
              </c:numCache>
            </c:numRef>
          </c:val>
          <c:smooth val="0"/>
          <c:extLst>
            <c:ext xmlns:c16="http://schemas.microsoft.com/office/drawing/2014/chart" uri="{C3380CC4-5D6E-409C-BE32-E72D297353CC}">
              <c16:uniqueId val="{00000001-3F14-48E8-BC02-45AB5FDDECD9}"/>
            </c:ext>
          </c:extLst>
        </c:ser>
        <c:ser>
          <c:idx val="2"/>
          <c:order val="2"/>
          <c:tx>
            <c:strRef>
              <c:f>Sheet3!$N$2</c:f>
              <c:strCache>
                <c:ptCount val="1"/>
                <c:pt idx="0">
                  <c:v>UCL</c:v>
                </c:pt>
              </c:strCache>
            </c:strRef>
          </c:tx>
          <c:spPr>
            <a:ln w="28575" cap="rnd">
              <a:solidFill>
                <a:schemeClr val="accent3"/>
              </a:solidFill>
              <a:round/>
            </a:ln>
            <a:effectLst/>
          </c:spPr>
          <c:marker>
            <c:symbol val="none"/>
          </c:marker>
          <c:val>
            <c:numRef>
              <c:f>Sheet3!$N$3:$N$14</c:f>
              <c:numCache>
                <c:formatCode>0.0000</c:formatCode>
                <c:ptCount val="12"/>
                <c:pt idx="0">
                  <c:v>6.0815871591325864E-2</c:v>
                </c:pt>
                <c:pt idx="1">
                  <c:v>6.0815871591325864E-2</c:v>
                </c:pt>
                <c:pt idx="2">
                  <c:v>6.0815871591325864E-2</c:v>
                </c:pt>
                <c:pt idx="3">
                  <c:v>6.0815871591325864E-2</c:v>
                </c:pt>
                <c:pt idx="4">
                  <c:v>6.0815871591325864E-2</c:v>
                </c:pt>
                <c:pt idx="5">
                  <c:v>6.0815871591325864E-2</c:v>
                </c:pt>
                <c:pt idx="6">
                  <c:v>6.0815871591325864E-2</c:v>
                </c:pt>
                <c:pt idx="7">
                  <c:v>6.0815871591325864E-2</c:v>
                </c:pt>
                <c:pt idx="8">
                  <c:v>6.0815871591325864E-2</c:v>
                </c:pt>
                <c:pt idx="9">
                  <c:v>6.0815871591325864E-2</c:v>
                </c:pt>
                <c:pt idx="10">
                  <c:v>6.0815871591325864E-2</c:v>
                </c:pt>
                <c:pt idx="11">
                  <c:v>6.0815871591325864E-2</c:v>
                </c:pt>
              </c:numCache>
            </c:numRef>
          </c:val>
          <c:smooth val="0"/>
          <c:extLst>
            <c:ext xmlns:c16="http://schemas.microsoft.com/office/drawing/2014/chart" uri="{C3380CC4-5D6E-409C-BE32-E72D297353CC}">
              <c16:uniqueId val="{00000002-3F14-48E8-BC02-45AB5FDDECD9}"/>
            </c:ext>
          </c:extLst>
        </c:ser>
        <c:ser>
          <c:idx val="3"/>
          <c:order val="3"/>
          <c:tx>
            <c:strRef>
              <c:f>Sheet3!$O$2</c:f>
              <c:strCache>
                <c:ptCount val="1"/>
                <c:pt idx="0">
                  <c:v>LCL</c:v>
                </c:pt>
              </c:strCache>
            </c:strRef>
          </c:tx>
          <c:spPr>
            <a:ln w="28575" cap="rnd">
              <a:solidFill>
                <a:schemeClr val="accent4"/>
              </a:solidFill>
              <a:round/>
            </a:ln>
            <a:effectLst/>
          </c:spPr>
          <c:marker>
            <c:symbol val="none"/>
          </c:marker>
          <c:val>
            <c:numRef>
              <c:f>Sheet3!$O$3:$O$14</c:f>
              <c:numCache>
                <c:formatCode>0.0000</c:formatCode>
                <c:ptCount val="12"/>
                <c:pt idx="0">
                  <c:v>3.2517461742007474E-2</c:v>
                </c:pt>
                <c:pt idx="1">
                  <c:v>3.2517461742007474E-2</c:v>
                </c:pt>
                <c:pt idx="2">
                  <c:v>3.2517461742007474E-2</c:v>
                </c:pt>
                <c:pt idx="3">
                  <c:v>3.2517461742007474E-2</c:v>
                </c:pt>
                <c:pt idx="4">
                  <c:v>3.2517461742007474E-2</c:v>
                </c:pt>
                <c:pt idx="5">
                  <c:v>3.2517461742007474E-2</c:v>
                </c:pt>
                <c:pt idx="6">
                  <c:v>3.2517461742007474E-2</c:v>
                </c:pt>
                <c:pt idx="7">
                  <c:v>3.2517461742007474E-2</c:v>
                </c:pt>
                <c:pt idx="8">
                  <c:v>3.2517461742007474E-2</c:v>
                </c:pt>
                <c:pt idx="9">
                  <c:v>3.2517461742007474E-2</c:v>
                </c:pt>
                <c:pt idx="10">
                  <c:v>3.2517461742007474E-2</c:v>
                </c:pt>
                <c:pt idx="11">
                  <c:v>3.2517461742007474E-2</c:v>
                </c:pt>
              </c:numCache>
            </c:numRef>
          </c:val>
          <c:smooth val="0"/>
          <c:extLst>
            <c:ext xmlns:c16="http://schemas.microsoft.com/office/drawing/2014/chart" uri="{C3380CC4-5D6E-409C-BE32-E72D297353CC}">
              <c16:uniqueId val="{00000003-3F14-48E8-BC02-45AB5FDDECD9}"/>
            </c:ext>
          </c:extLst>
        </c:ser>
        <c:dLbls>
          <c:showLegendKey val="0"/>
          <c:showVal val="0"/>
          <c:showCatName val="0"/>
          <c:showSerName val="0"/>
          <c:showPercent val="0"/>
          <c:showBubbleSize val="0"/>
        </c:dLbls>
        <c:smooth val="0"/>
        <c:axId val="735271448"/>
        <c:axId val="735272104"/>
      </c:lineChart>
      <c:catAx>
        <c:axId val="735271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272104"/>
        <c:crosses val="autoZero"/>
        <c:auto val="1"/>
        <c:lblAlgn val="ctr"/>
        <c:lblOffset val="100"/>
        <c:noMultiLvlLbl val="0"/>
      </c:catAx>
      <c:valAx>
        <c:axId val="735272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Defect</a:t>
                </a:r>
                <a:r>
                  <a:rPr lang="en-GB" baseline="0"/>
                  <a:t> Rate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271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14269</xdr:colOff>
      <xdr:row>68</xdr:row>
      <xdr:rowOff>171236</xdr:rowOff>
    </xdr:from>
    <xdr:to>
      <xdr:col>6</xdr:col>
      <xdr:colOff>962742</xdr:colOff>
      <xdr:row>73</xdr:row>
      <xdr:rowOff>122903</xdr:rowOff>
    </xdr:to>
    <xdr:sp macro="" textlink="">
      <xdr:nvSpPr>
        <xdr:cNvPr id="3" name="TextBox 2">
          <a:extLst>
            <a:ext uri="{FF2B5EF4-FFF2-40B4-BE49-F238E27FC236}">
              <a16:creationId xmlns:a16="http://schemas.microsoft.com/office/drawing/2014/main" id="{143EA9CF-0E58-B157-9D94-AF53AB78448C}"/>
            </a:ext>
          </a:extLst>
        </xdr:cNvPr>
        <xdr:cNvSpPr txBox="1"/>
      </xdr:nvSpPr>
      <xdr:spPr>
        <a:xfrm>
          <a:off x="14269" y="14431522"/>
          <a:ext cx="7120673" cy="8769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latin typeface="Times New Roman" panose="02020603050405020304" pitchFamily="18" charset="0"/>
              <a:cs typeface="Times New Roman" panose="02020603050405020304" pitchFamily="18" charset="0"/>
            </a:rPr>
            <a:t>The linear trend method performs better as it has lower MAD and lower MSE and that means its forecasts are closer to actual demand and the errors are smaller</a:t>
          </a:r>
        </a:p>
      </xdr:txBody>
    </xdr:sp>
    <xdr:clientData/>
  </xdr:twoCellAnchor>
  <xdr:twoCellAnchor>
    <xdr:from>
      <xdr:col>8</xdr:col>
      <xdr:colOff>970340</xdr:colOff>
      <xdr:row>16</xdr:row>
      <xdr:rowOff>99889</xdr:rowOff>
    </xdr:from>
    <xdr:to>
      <xdr:col>18</xdr:col>
      <xdr:colOff>837939</xdr:colOff>
      <xdr:row>35</xdr:row>
      <xdr:rowOff>39278</xdr:rowOff>
    </xdr:to>
    <xdr:graphicFrame macro="">
      <xdr:nvGraphicFramePr>
        <xdr:cNvPr id="4" name="Chart 3">
          <a:extLst>
            <a:ext uri="{FF2B5EF4-FFF2-40B4-BE49-F238E27FC236}">
              <a16:creationId xmlns:a16="http://schemas.microsoft.com/office/drawing/2014/main" id="{E03321CD-06EE-5CDD-90FA-5B9F6FBC3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867597</xdr:colOff>
      <xdr:row>39</xdr:row>
      <xdr:rowOff>104741</xdr:rowOff>
    </xdr:from>
    <xdr:to>
      <xdr:col>18</xdr:col>
      <xdr:colOff>10886</xdr:colOff>
      <xdr:row>59</xdr:row>
      <xdr:rowOff>144020</xdr:rowOff>
    </xdr:to>
    <xdr:graphicFrame macro="">
      <xdr:nvGraphicFramePr>
        <xdr:cNvPr id="5" name="Chart 4">
          <a:extLst>
            <a:ext uri="{FF2B5EF4-FFF2-40B4-BE49-F238E27FC236}">
              <a16:creationId xmlns:a16="http://schemas.microsoft.com/office/drawing/2014/main" id="{62B46DCB-1EFC-537B-6352-279DA0EC9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40626</xdr:colOff>
      <xdr:row>39</xdr:row>
      <xdr:rowOff>202902</xdr:rowOff>
    </xdr:from>
    <xdr:to>
      <xdr:col>32</xdr:col>
      <xdr:colOff>227390</xdr:colOff>
      <xdr:row>60</xdr:row>
      <xdr:rowOff>145753</xdr:rowOff>
    </xdr:to>
    <xdr:graphicFrame macro="">
      <xdr:nvGraphicFramePr>
        <xdr:cNvPr id="7" name="Chart 6">
          <a:extLst>
            <a:ext uri="{FF2B5EF4-FFF2-40B4-BE49-F238E27FC236}">
              <a16:creationId xmlns:a16="http://schemas.microsoft.com/office/drawing/2014/main" id="{39D3BF0C-A98F-4236-5A30-DCF76AEEB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587866</xdr:colOff>
      <xdr:row>15</xdr:row>
      <xdr:rowOff>130929</xdr:rowOff>
    </xdr:from>
    <xdr:to>
      <xdr:col>33</xdr:col>
      <xdr:colOff>52371</xdr:colOff>
      <xdr:row>35</xdr:row>
      <xdr:rowOff>1</xdr:rowOff>
    </xdr:to>
    <xdr:graphicFrame macro="">
      <xdr:nvGraphicFramePr>
        <xdr:cNvPr id="8" name="Chart 7">
          <a:extLst>
            <a:ext uri="{FF2B5EF4-FFF2-40B4-BE49-F238E27FC236}">
              <a16:creationId xmlns:a16="http://schemas.microsoft.com/office/drawing/2014/main" id="{D4BF9FF3-5546-E9FC-8D69-ABE82CBF1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40969</xdr:colOff>
      <xdr:row>16</xdr:row>
      <xdr:rowOff>122903</xdr:rowOff>
    </xdr:from>
    <xdr:to>
      <xdr:col>51</xdr:col>
      <xdr:colOff>614516</xdr:colOff>
      <xdr:row>29</xdr:row>
      <xdr:rowOff>81935</xdr:rowOff>
    </xdr:to>
    <xdr:sp macro="" textlink="">
      <xdr:nvSpPr>
        <xdr:cNvPr id="9" name="TextBox 8">
          <a:extLst>
            <a:ext uri="{FF2B5EF4-FFF2-40B4-BE49-F238E27FC236}">
              <a16:creationId xmlns:a16="http://schemas.microsoft.com/office/drawing/2014/main" id="{86F3DC89-1957-F0CE-F371-63914DB7D442}"/>
            </a:ext>
          </a:extLst>
        </xdr:cNvPr>
        <xdr:cNvSpPr txBox="1"/>
      </xdr:nvSpPr>
      <xdr:spPr>
        <a:xfrm>
          <a:off x="33081453" y="3502742"/>
          <a:ext cx="11389031" cy="26629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600" b="0" i="0" u="none" strike="noStrike">
              <a:solidFill>
                <a:schemeClr val="tx1"/>
              </a:solidFill>
              <a:effectLst/>
              <a:latin typeface="Times New Roman" panose="02020603050405020304" pitchFamily="18" charset="0"/>
              <a:ea typeface="+mn-ea"/>
              <a:cs typeface="Times New Roman" panose="02020603050405020304" pitchFamily="18" charset="0"/>
            </a:rPr>
            <a:t>April 2024 is out of control Because its defect rate is above the upper control limit, All other months are within limits</a:t>
          </a:r>
          <a:endParaRPr lang="en-US" sz="1600" b="1" i="0" u="none" strike="noStrike">
            <a:solidFill>
              <a:schemeClr val="tx1"/>
            </a:solidFill>
            <a:effectLst/>
            <a:latin typeface="Times New Roman" panose="02020603050405020304" pitchFamily="18" charset="0"/>
            <a:ea typeface="+mn-ea"/>
            <a:cs typeface="Times New Roman" panose="02020603050405020304" pitchFamily="18" charset="0"/>
          </a:endParaRPr>
        </a:p>
        <a:p>
          <a:endParaRPr lang="en-US" sz="1600" b="0" i="0" u="none" strike="noStrike">
            <a:solidFill>
              <a:schemeClr val="tx1"/>
            </a:solidFill>
            <a:effectLst/>
            <a:latin typeface="Times New Roman" panose="02020603050405020304" pitchFamily="18" charset="0"/>
            <a:ea typeface="+mn-ea"/>
            <a:cs typeface="Times New Roman" panose="02020603050405020304" pitchFamily="18" charset="0"/>
          </a:endParaRPr>
        </a:p>
        <a:p>
          <a:pPr rtl="0"/>
          <a:r>
            <a:rPr lang="en-US" sz="1600" b="1" i="0" u="sng" strike="noStrike">
              <a:solidFill>
                <a:schemeClr val="tx1"/>
              </a:solidFill>
              <a:effectLst/>
              <a:latin typeface="Times New Roman" panose="02020603050405020304" pitchFamily="18" charset="0"/>
              <a:ea typeface="+mn-ea"/>
              <a:cs typeface="Times New Roman" panose="02020603050405020304" pitchFamily="18" charset="0"/>
            </a:rPr>
            <a:t>suggest improvement actions:</a:t>
          </a:r>
          <a:br>
            <a:rPr lang="en-US" sz="1600" b="0" i="0" u="none" strike="noStrike">
              <a:solidFill>
                <a:schemeClr val="tx1"/>
              </a:solidFill>
              <a:effectLst/>
              <a:latin typeface="Times New Roman" panose="02020603050405020304" pitchFamily="18" charset="0"/>
              <a:ea typeface="+mn-ea"/>
              <a:cs typeface="Times New Roman" panose="02020603050405020304" pitchFamily="18" charset="0"/>
            </a:rPr>
          </a:br>
          <a:endParaRPr lang="en-US" sz="1600" b="0" i="0" u="none" strike="noStrike">
            <a:solidFill>
              <a:schemeClr val="tx1"/>
            </a:solidFill>
            <a:effectLst/>
            <a:latin typeface="Times New Roman" panose="02020603050405020304" pitchFamily="18" charset="0"/>
            <a:ea typeface="+mn-ea"/>
            <a:cs typeface="Times New Roman" panose="02020603050405020304" pitchFamily="18" charset="0"/>
          </a:endParaRPr>
        </a:p>
        <a:p>
          <a:pPr rtl="0" fontAlgn="base"/>
          <a:r>
            <a:rPr lang="en-US" sz="1600" b="0" i="0" u="none" strike="noStrike">
              <a:solidFill>
                <a:schemeClr val="tx1"/>
              </a:solidFill>
              <a:effectLst/>
              <a:latin typeface="Times New Roman" panose="02020603050405020304" pitchFamily="18" charset="0"/>
              <a:ea typeface="+mn-ea"/>
              <a:cs typeface="Times New Roman" panose="02020603050405020304" pitchFamily="18" charset="0"/>
            </a:rPr>
            <a:t>Investigate April’s spike, Find and fix the special cause behind April’s out-of-control defects </a:t>
          </a:r>
        </a:p>
        <a:p>
          <a:pPr rtl="0" fontAlgn="base"/>
          <a:endParaRPr lang="en-US" sz="1600" b="0" i="0" u="none" strike="noStrike">
            <a:solidFill>
              <a:schemeClr val="tx1"/>
            </a:solidFill>
            <a:effectLst/>
            <a:latin typeface="Times New Roman" panose="02020603050405020304" pitchFamily="18" charset="0"/>
            <a:ea typeface="+mn-ea"/>
            <a:cs typeface="Times New Roman" panose="02020603050405020304" pitchFamily="18" charset="0"/>
          </a:endParaRPr>
        </a:p>
        <a:p>
          <a:pPr rtl="0" fontAlgn="base"/>
          <a:r>
            <a:rPr lang="en-US" sz="1600" b="0" i="0" u="none" strike="noStrike">
              <a:solidFill>
                <a:schemeClr val="tx1"/>
              </a:solidFill>
              <a:effectLst/>
              <a:latin typeface="Times New Roman" panose="02020603050405020304" pitchFamily="18" charset="0"/>
              <a:ea typeface="+mn-ea"/>
              <a:cs typeface="Times New Roman" panose="02020603050405020304" pitchFamily="18" charset="0"/>
            </a:rPr>
            <a:t>Strengthen quality control, Improve inspections, reinforce training, maintain equipment regularly, and apply best practices from low-defect months while monitoring performance</a:t>
          </a:r>
        </a:p>
        <a:p>
          <a:endParaRPr lang="en-US" sz="1600">
            <a:solidFill>
              <a:schemeClr val="tx1"/>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69</xdr:row>
      <xdr:rowOff>43543</xdr:rowOff>
    </xdr:from>
    <xdr:to>
      <xdr:col>7</xdr:col>
      <xdr:colOff>533400</xdr:colOff>
      <xdr:row>78</xdr:row>
      <xdr:rowOff>43544</xdr:rowOff>
    </xdr:to>
    <xdr:sp macro="" textlink="">
      <xdr:nvSpPr>
        <xdr:cNvPr id="3" name="TextBox 2">
          <a:extLst>
            <a:ext uri="{FF2B5EF4-FFF2-40B4-BE49-F238E27FC236}">
              <a16:creationId xmlns:a16="http://schemas.microsoft.com/office/drawing/2014/main" id="{3F520F18-95BE-4FF9-BEB4-D43713168D9A}"/>
            </a:ext>
          </a:extLst>
        </xdr:cNvPr>
        <xdr:cNvSpPr txBox="1"/>
      </xdr:nvSpPr>
      <xdr:spPr>
        <a:xfrm>
          <a:off x="0" y="14989629"/>
          <a:ext cx="7620000" cy="1665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t>The first method shows a lower MAD, meaning its average forecast errors are smaller. However, the second method has a lower MSE, indicating it avoids large errors more effectively. Since the two measures point in different directions, neither method is clearly superior overall—the choice depends on whether the priority is minimizing average errors (MAD) or minimizing large deviations (MSE).</a:t>
          </a:r>
          <a:endParaRPr lang="en-US" sz="1600" b="0">
            <a:latin typeface="Times New Roman" panose="02020603050405020304" pitchFamily="18" charset="0"/>
            <a:cs typeface="Times New Roman" panose="02020603050405020304" pitchFamily="18" charset="0"/>
          </a:endParaRPr>
        </a:p>
      </xdr:txBody>
    </xdr:sp>
    <xdr:clientData/>
  </xdr:twoCellAnchor>
  <xdr:twoCellAnchor>
    <xdr:from>
      <xdr:col>8</xdr:col>
      <xdr:colOff>642254</xdr:colOff>
      <xdr:row>14</xdr:row>
      <xdr:rowOff>108858</xdr:rowOff>
    </xdr:from>
    <xdr:to>
      <xdr:col>16</xdr:col>
      <xdr:colOff>576942</xdr:colOff>
      <xdr:row>31</xdr:row>
      <xdr:rowOff>10885</xdr:rowOff>
    </xdr:to>
    <xdr:graphicFrame macro="">
      <xdr:nvGraphicFramePr>
        <xdr:cNvPr id="10" name="Chart 9">
          <a:extLst>
            <a:ext uri="{FF2B5EF4-FFF2-40B4-BE49-F238E27FC236}">
              <a16:creationId xmlns:a16="http://schemas.microsoft.com/office/drawing/2014/main" id="{580174BE-264F-47E7-E54A-238AD11FF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664027</xdr:colOff>
      <xdr:row>34</xdr:row>
      <xdr:rowOff>185056</xdr:rowOff>
    </xdr:from>
    <xdr:to>
      <xdr:col>16</xdr:col>
      <xdr:colOff>587827</xdr:colOff>
      <xdr:row>50</xdr:row>
      <xdr:rowOff>152399</xdr:rowOff>
    </xdr:to>
    <xdr:graphicFrame macro="">
      <xdr:nvGraphicFramePr>
        <xdr:cNvPr id="11" name="Chart 10">
          <a:extLst>
            <a:ext uri="{FF2B5EF4-FFF2-40B4-BE49-F238E27FC236}">
              <a16:creationId xmlns:a16="http://schemas.microsoft.com/office/drawing/2014/main" id="{7CA907C7-F1C6-D14B-48B3-FF12F3ADB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1095374</xdr:colOff>
      <xdr:row>35</xdr:row>
      <xdr:rowOff>38100</xdr:rowOff>
    </xdr:from>
    <xdr:to>
      <xdr:col>23</xdr:col>
      <xdr:colOff>342899</xdr:colOff>
      <xdr:row>53</xdr:row>
      <xdr:rowOff>76200</xdr:rowOff>
    </xdr:to>
    <xdr:graphicFrame macro="">
      <xdr:nvGraphicFramePr>
        <xdr:cNvPr id="13" name="Chart 12">
          <a:extLst>
            <a:ext uri="{FF2B5EF4-FFF2-40B4-BE49-F238E27FC236}">
              <a16:creationId xmlns:a16="http://schemas.microsoft.com/office/drawing/2014/main" id="{37D9A4B0-FD7F-C564-6A31-E712E9B9E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1190624</xdr:colOff>
      <xdr:row>14</xdr:row>
      <xdr:rowOff>76200</xdr:rowOff>
    </xdr:from>
    <xdr:to>
      <xdr:col>23</xdr:col>
      <xdr:colOff>228599</xdr:colOff>
      <xdr:row>33</xdr:row>
      <xdr:rowOff>38100</xdr:rowOff>
    </xdr:to>
    <xdr:graphicFrame macro="">
      <xdr:nvGraphicFramePr>
        <xdr:cNvPr id="14" name="Chart 13">
          <a:extLst>
            <a:ext uri="{FF2B5EF4-FFF2-40B4-BE49-F238E27FC236}">
              <a16:creationId xmlns:a16="http://schemas.microsoft.com/office/drawing/2014/main" id="{86FCE12A-12C5-D80D-0D58-F2F1140BE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512618</xdr:colOff>
      <xdr:row>18</xdr:row>
      <xdr:rowOff>193964</xdr:rowOff>
    </xdr:from>
    <xdr:to>
      <xdr:col>35</xdr:col>
      <xdr:colOff>250371</xdr:colOff>
      <xdr:row>26</xdr:row>
      <xdr:rowOff>55420</xdr:rowOff>
    </xdr:to>
    <xdr:sp macro="" textlink="">
      <xdr:nvSpPr>
        <xdr:cNvPr id="16" name="TextBox 15">
          <a:extLst>
            <a:ext uri="{FF2B5EF4-FFF2-40B4-BE49-F238E27FC236}">
              <a16:creationId xmlns:a16="http://schemas.microsoft.com/office/drawing/2014/main" id="{64A1EAD9-691F-4E72-9CB9-EF7888B9C81F}"/>
            </a:ext>
          </a:extLst>
        </xdr:cNvPr>
        <xdr:cNvSpPr txBox="1"/>
      </xdr:nvSpPr>
      <xdr:spPr>
        <a:xfrm>
          <a:off x="31210332" y="3775364"/>
          <a:ext cx="6922325" cy="16249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t>pchart interpretation:</a:t>
          </a:r>
        </a:p>
        <a:p>
          <a:r>
            <a:rPr lang="en-GB" sz="1600"/>
            <a:t>The process is mostly stable, with nearly all defect rates staying within normal limits. The only issue is </a:t>
          </a:r>
          <a:r>
            <a:rPr lang="en-GB" sz="1600" b="1"/>
            <a:t>February</a:t>
          </a:r>
          <a:r>
            <a:rPr lang="en-GB" sz="1600"/>
            <a:t>, where the defect rate goes above the upper limit, making it an out-of-control point that needs attention. Aside from that spike, everything looks consistent.</a:t>
          </a:r>
          <a:endParaRPr lang="en-US" sz="1600" b="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497540</xdr:colOff>
      <xdr:row>18</xdr:row>
      <xdr:rowOff>8965</xdr:rowOff>
    </xdr:from>
    <xdr:to>
      <xdr:col>15</xdr:col>
      <xdr:colOff>479610</xdr:colOff>
      <xdr:row>30</xdr:row>
      <xdr:rowOff>188259</xdr:rowOff>
    </xdr:to>
    <xdr:graphicFrame macro="">
      <xdr:nvGraphicFramePr>
        <xdr:cNvPr id="3" name="Chart 2">
          <a:extLst>
            <a:ext uri="{FF2B5EF4-FFF2-40B4-BE49-F238E27FC236}">
              <a16:creationId xmlns:a16="http://schemas.microsoft.com/office/drawing/2014/main" id="{A468BF81-65BE-44A5-B166-2FBE6DC36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416857</xdr:colOff>
      <xdr:row>35</xdr:row>
      <xdr:rowOff>62752</xdr:rowOff>
    </xdr:from>
    <xdr:to>
      <xdr:col>16</xdr:col>
      <xdr:colOff>98611</xdr:colOff>
      <xdr:row>48</xdr:row>
      <xdr:rowOff>44823</xdr:rowOff>
    </xdr:to>
    <xdr:graphicFrame macro="">
      <xdr:nvGraphicFramePr>
        <xdr:cNvPr id="4" name="Chart 3">
          <a:extLst>
            <a:ext uri="{FF2B5EF4-FFF2-40B4-BE49-F238E27FC236}">
              <a16:creationId xmlns:a16="http://schemas.microsoft.com/office/drawing/2014/main" id="{9D9AF849-09BC-46AB-94B4-25E1E0466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105014</xdr:colOff>
      <xdr:row>35</xdr:row>
      <xdr:rowOff>102454</xdr:rowOff>
    </xdr:from>
    <xdr:to>
      <xdr:col>27</xdr:col>
      <xdr:colOff>446314</xdr:colOff>
      <xdr:row>48</xdr:row>
      <xdr:rowOff>43543</xdr:rowOff>
    </xdr:to>
    <xdr:graphicFrame macro="">
      <xdr:nvGraphicFramePr>
        <xdr:cNvPr id="5" name="Chart 4">
          <a:extLst>
            <a:ext uri="{FF2B5EF4-FFF2-40B4-BE49-F238E27FC236}">
              <a16:creationId xmlns:a16="http://schemas.microsoft.com/office/drawing/2014/main" id="{EA8A1F5C-1B12-4FFB-B073-7C67077D1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359833</xdr:colOff>
      <xdr:row>17</xdr:row>
      <xdr:rowOff>165100</xdr:rowOff>
    </xdr:from>
    <xdr:to>
      <xdr:col>24</xdr:col>
      <xdr:colOff>93133</xdr:colOff>
      <xdr:row>32</xdr:row>
      <xdr:rowOff>105833</xdr:rowOff>
    </xdr:to>
    <xdr:graphicFrame macro="">
      <xdr:nvGraphicFramePr>
        <xdr:cNvPr id="6" name="Chart 5">
          <a:extLst>
            <a:ext uri="{FF2B5EF4-FFF2-40B4-BE49-F238E27FC236}">
              <a16:creationId xmlns:a16="http://schemas.microsoft.com/office/drawing/2014/main" id="{766981A7-5415-4EBA-A4FB-C74E2B467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728869</xdr:colOff>
      <xdr:row>65</xdr:row>
      <xdr:rowOff>390939</xdr:rowOff>
    </xdr:from>
    <xdr:to>
      <xdr:col>6</xdr:col>
      <xdr:colOff>569843</xdr:colOff>
      <xdr:row>70</xdr:row>
      <xdr:rowOff>145774</xdr:rowOff>
    </xdr:to>
    <xdr:sp macro="" textlink="">
      <xdr:nvSpPr>
        <xdr:cNvPr id="7" name="TextBox 6">
          <a:extLst>
            <a:ext uri="{FF2B5EF4-FFF2-40B4-BE49-F238E27FC236}">
              <a16:creationId xmlns:a16="http://schemas.microsoft.com/office/drawing/2014/main" id="{5AA671E9-9AC5-4AB4-8CE5-7A70A051DF18}"/>
            </a:ext>
          </a:extLst>
        </xdr:cNvPr>
        <xdr:cNvSpPr txBox="1"/>
      </xdr:nvSpPr>
      <xdr:spPr>
        <a:xfrm>
          <a:off x="3366052" y="13868400"/>
          <a:ext cx="2597426" cy="921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The linear trend method is better as it has lower MAD and lower MSE meaning</a:t>
          </a:r>
          <a:r>
            <a:rPr lang="en-US" sz="1100" b="0" baseline="0">
              <a:solidFill>
                <a:schemeClr val="dk1"/>
              </a:solidFill>
              <a:effectLst/>
              <a:latin typeface="+mn-lt"/>
              <a:ea typeface="+mn-ea"/>
              <a:cs typeface="+mn-cs"/>
            </a:rPr>
            <a:t> that </a:t>
          </a:r>
          <a:r>
            <a:rPr lang="en-US" sz="1100" b="0">
              <a:solidFill>
                <a:schemeClr val="dk1"/>
              </a:solidFill>
              <a:effectLst/>
              <a:latin typeface="+mn-lt"/>
              <a:ea typeface="+mn-ea"/>
              <a:cs typeface="+mn-cs"/>
            </a:rPr>
            <a:t>forecasts are closer to actual demand and there</a:t>
          </a:r>
          <a:r>
            <a:rPr lang="en-US" sz="1100" b="0" baseline="0">
              <a:solidFill>
                <a:schemeClr val="dk1"/>
              </a:solidFill>
              <a:effectLst/>
              <a:latin typeface="+mn-lt"/>
              <a:ea typeface="+mn-ea"/>
              <a:cs typeface="+mn-cs"/>
            </a:rPr>
            <a:t> are lower errors</a:t>
          </a:r>
          <a:endParaRPr lang="en-GB" sz="1100"/>
        </a:p>
      </xdr:txBody>
    </xdr:sp>
    <xdr:clientData/>
  </xdr:twoCellAnchor>
  <xdr:twoCellAnchor>
    <xdr:from>
      <xdr:col>25</xdr:col>
      <xdr:colOff>119530</xdr:colOff>
      <xdr:row>19</xdr:row>
      <xdr:rowOff>13447</xdr:rowOff>
    </xdr:from>
    <xdr:to>
      <xdr:col>32</xdr:col>
      <xdr:colOff>227497</xdr:colOff>
      <xdr:row>22</xdr:row>
      <xdr:rowOff>197679</xdr:rowOff>
    </xdr:to>
    <xdr:sp macro="" textlink="">
      <xdr:nvSpPr>
        <xdr:cNvPr id="8" name="TextBox 7">
          <a:extLst>
            <a:ext uri="{FF2B5EF4-FFF2-40B4-BE49-F238E27FC236}">
              <a16:creationId xmlns:a16="http://schemas.microsoft.com/office/drawing/2014/main" id="{9217D873-CD0A-40A7-98C1-399BD0632A66}"/>
            </a:ext>
          </a:extLst>
        </xdr:cNvPr>
        <xdr:cNvSpPr txBox="1"/>
      </xdr:nvSpPr>
      <xdr:spPr>
        <a:xfrm>
          <a:off x="20896730" y="3886947"/>
          <a:ext cx="4286267" cy="7938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There are no points out of control there is no need for improvment.</a:t>
          </a:r>
        </a:p>
        <a:p>
          <a:r>
            <a:rPr lang="en-GB" sz="1100"/>
            <a:t>All points are between the UCL and LCL.</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37"/>
  <sheetViews>
    <sheetView workbookViewId="0">
      <selection sqref="A1:XFD1048576"/>
    </sheetView>
  </sheetViews>
  <sheetFormatPr defaultColWidth="8.77734375" defaultRowHeight="14.4" x14ac:dyDescent="0.3"/>
  <cols>
    <col min="1" max="1" width="11.44140625" bestFit="1" customWidth="1"/>
    <col min="2" max="2" width="12.33203125" bestFit="1" customWidth="1"/>
    <col min="3" max="3" width="15.33203125" bestFit="1" customWidth="1"/>
    <col min="4" max="4" width="16.6640625" bestFit="1" customWidth="1"/>
    <col min="5" max="5" width="18.109375" bestFit="1" customWidth="1"/>
    <col min="6" max="6" width="17.44140625" bestFit="1" customWidth="1"/>
    <col min="7" max="7" width="15.109375" bestFit="1" customWidth="1"/>
    <col min="8" max="8" width="15.77734375" bestFit="1" customWidth="1"/>
    <col min="9" max="9" width="16.33203125" bestFit="1" customWidth="1"/>
    <col min="10" max="10" width="13.6640625" bestFit="1" customWidth="1"/>
    <col min="11" max="11" width="14.33203125" bestFit="1" customWidth="1"/>
  </cols>
  <sheetData>
    <row r="1" spans="1:11" x14ac:dyDescent="0.3">
      <c r="A1" s="1" t="s">
        <v>0</v>
      </c>
      <c r="B1" s="1" t="s">
        <v>1</v>
      </c>
      <c r="C1" s="1" t="s">
        <v>2</v>
      </c>
      <c r="D1" s="1" t="s">
        <v>3</v>
      </c>
      <c r="E1" s="1" t="s">
        <v>9</v>
      </c>
      <c r="F1" s="1" t="s">
        <v>10</v>
      </c>
      <c r="G1" s="1" t="s">
        <v>4</v>
      </c>
      <c r="H1" s="1" t="s">
        <v>5</v>
      </c>
      <c r="I1" s="1" t="s">
        <v>6</v>
      </c>
      <c r="J1" s="1" t="s">
        <v>7</v>
      </c>
      <c r="K1" s="1" t="s">
        <v>8</v>
      </c>
    </row>
    <row r="2" spans="1:11" x14ac:dyDescent="0.3">
      <c r="A2" t="s">
        <v>11</v>
      </c>
      <c r="B2" t="s">
        <v>23</v>
      </c>
      <c r="C2">
        <v>1852</v>
      </c>
      <c r="D2">
        <v>2000</v>
      </c>
      <c r="E2">
        <v>2000</v>
      </c>
      <c r="F2">
        <v>71</v>
      </c>
      <c r="G2">
        <v>3.5499999999999997E-2</v>
      </c>
      <c r="H2">
        <v>1571</v>
      </c>
      <c r="I2">
        <v>1988</v>
      </c>
      <c r="J2">
        <v>3.5</v>
      </c>
      <c r="K2">
        <v>7</v>
      </c>
    </row>
    <row r="3" spans="1:11" x14ac:dyDescent="0.3">
      <c r="A3" t="s">
        <v>11</v>
      </c>
      <c r="B3" t="s">
        <v>24</v>
      </c>
      <c r="C3">
        <v>1470</v>
      </c>
      <c r="D3">
        <v>1372</v>
      </c>
      <c r="E3">
        <v>2000</v>
      </c>
      <c r="F3">
        <v>87</v>
      </c>
      <c r="G3">
        <v>4.3400000000000001E-2</v>
      </c>
      <c r="H3">
        <v>1714</v>
      </c>
      <c r="I3">
        <v>2130</v>
      </c>
      <c r="J3">
        <v>2.8</v>
      </c>
      <c r="K3">
        <v>6</v>
      </c>
    </row>
    <row r="4" spans="1:11" x14ac:dyDescent="0.3">
      <c r="A4" t="s">
        <v>11</v>
      </c>
      <c r="B4" t="s">
        <v>25</v>
      </c>
      <c r="C4">
        <v>1508</v>
      </c>
      <c r="D4">
        <v>1395</v>
      </c>
      <c r="E4">
        <v>2000</v>
      </c>
      <c r="F4">
        <v>80</v>
      </c>
      <c r="G4">
        <v>0.04</v>
      </c>
      <c r="H4">
        <v>1859</v>
      </c>
      <c r="I4">
        <v>1951</v>
      </c>
      <c r="J4">
        <v>2.2000000000000002</v>
      </c>
      <c r="K4">
        <v>5</v>
      </c>
    </row>
    <row r="5" spans="1:11" x14ac:dyDescent="0.3">
      <c r="A5" t="s">
        <v>12</v>
      </c>
      <c r="B5" t="s">
        <v>23</v>
      </c>
      <c r="C5">
        <v>1880</v>
      </c>
      <c r="D5">
        <v>1829</v>
      </c>
      <c r="E5">
        <v>2000</v>
      </c>
      <c r="F5">
        <v>63</v>
      </c>
      <c r="G5">
        <v>3.1699999999999999E-2</v>
      </c>
      <c r="H5">
        <v>1843</v>
      </c>
      <c r="I5">
        <v>2093</v>
      </c>
      <c r="J5">
        <v>3.5</v>
      </c>
      <c r="K5">
        <v>7</v>
      </c>
    </row>
    <row r="6" spans="1:11" x14ac:dyDescent="0.3">
      <c r="A6" t="s">
        <v>12</v>
      </c>
      <c r="B6" t="s">
        <v>24</v>
      </c>
      <c r="C6">
        <v>1835</v>
      </c>
      <c r="D6">
        <v>1826</v>
      </c>
      <c r="E6">
        <v>2000</v>
      </c>
      <c r="F6">
        <v>120</v>
      </c>
      <c r="G6">
        <v>5.9799999999999999E-2</v>
      </c>
      <c r="H6">
        <v>1660</v>
      </c>
      <c r="I6">
        <v>2113</v>
      </c>
      <c r="J6">
        <v>2.8</v>
      </c>
      <c r="K6">
        <v>6</v>
      </c>
    </row>
    <row r="7" spans="1:11" x14ac:dyDescent="0.3">
      <c r="A7" t="s">
        <v>12</v>
      </c>
      <c r="B7" t="s">
        <v>25</v>
      </c>
      <c r="C7">
        <v>1071</v>
      </c>
      <c r="D7">
        <v>1123</v>
      </c>
      <c r="E7">
        <v>2000</v>
      </c>
      <c r="F7">
        <v>86</v>
      </c>
      <c r="G7">
        <v>4.2999999999999997E-2</v>
      </c>
      <c r="H7">
        <v>1548</v>
      </c>
      <c r="I7">
        <v>1858</v>
      </c>
      <c r="J7">
        <v>2.2000000000000002</v>
      </c>
      <c r="K7">
        <v>5</v>
      </c>
    </row>
    <row r="8" spans="1:11" x14ac:dyDescent="0.3">
      <c r="A8" t="s">
        <v>13</v>
      </c>
      <c r="B8" t="s">
        <v>23</v>
      </c>
      <c r="C8">
        <v>1919</v>
      </c>
      <c r="D8">
        <v>1906</v>
      </c>
      <c r="E8">
        <v>2000</v>
      </c>
      <c r="F8">
        <v>82</v>
      </c>
      <c r="G8">
        <v>4.1000000000000002E-2</v>
      </c>
      <c r="H8">
        <v>1689</v>
      </c>
      <c r="I8">
        <v>1974</v>
      </c>
      <c r="J8">
        <v>3.5</v>
      </c>
      <c r="K8">
        <v>7</v>
      </c>
    </row>
    <row r="9" spans="1:11" x14ac:dyDescent="0.3">
      <c r="A9" t="s">
        <v>13</v>
      </c>
      <c r="B9" t="s">
        <v>24</v>
      </c>
      <c r="C9">
        <v>1895</v>
      </c>
      <c r="D9">
        <v>1745</v>
      </c>
      <c r="E9">
        <v>2000</v>
      </c>
      <c r="F9">
        <v>83</v>
      </c>
      <c r="G9">
        <v>4.1500000000000002E-2</v>
      </c>
      <c r="H9">
        <v>1743</v>
      </c>
      <c r="I9">
        <v>2119</v>
      </c>
      <c r="J9">
        <v>2.8</v>
      </c>
      <c r="K9">
        <v>6</v>
      </c>
    </row>
    <row r="10" spans="1:11" x14ac:dyDescent="0.3">
      <c r="A10" t="s">
        <v>13</v>
      </c>
      <c r="B10" t="s">
        <v>25</v>
      </c>
      <c r="C10">
        <v>1180</v>
      </c>
      <c r="D10">
        <v>1286</v>
      </c>
      <c r="E10">
        <v>2000</v>
      </c>
      <c r="F10">
        <v>101</v>
      </c>
      <c r="G10">
        <v>5.04E-2</v>
      </c>
      <c r="H10">
        <v>1828</v>
      </c>
      <c r="I10">
        <v>1966</v>
      </c>
      <c r="J10">
        <v>2.2000000000000002</v>
      </c>
      <c r="K10">
        <v>5</v>
      </c>
    </row>
    <row r="11" spans="1:11" x14ac:dyDescent="0.3">
      <c r="A11" t="s">
        <v>14</v>
      </c>
      <c r="B11" t="s">
        <v>23</v>
      </c>
      <c r="C11">
        <v>2023</v>
      </c>
      <c r="D11">
        <v>2210</v>
      </c>
      <c r="E11">
        <v>2000</v>
      </c>
      <c r="F11">
        <v>117</v>
      </c>
      <c r="G11">
        <v>5.8299999999999998E-2</v>
      </c>
      <c r="H11">
        <v>1513</v>
      </c>
      <c r="I11">
        <v>2041</v>
      </c>
      <c r="J11">
        <v>3.5</v>
      </c>
      <c r="K11">
        <v>7</v>
      </c>
    </row>
    <row r="12" spans="1:11" x14ac:dyDescent="0.3">
      <c r="A12" t="s">
        <v>14</v>
      </c>
      <c r="B12" t="s">
        <v>24</v>
      </c>
      <c r="C12">
        <v>1714</v>
      </c>
      <c r="D12">
        <v>1859</v>
      </c>
      <c r="E12">
        <v>2000</v>
      </c>
      <c r="F12">
        <v>66</v>
      </c>
      <c r="G12">
        <v>3.2899999999999999E-2</v>
      </c>
      <c r="H12">
        <v>1839</v>
      </c>
      <c r="I12">
        <v>1891</v>
      </c>
      <c r="J12">
        <v>2.8</v>
      </c>
      <c r="K12">
        <v>6</v>
      </c>
    </row>
    <row r="13" spans="1:11" x14ac:dyDescent="0.3">
      <c r="A13" t="s">
        <v>14</v>
      </c>
      <c r="B13" t="s">
        <v>25</v>
      </c>
      <c r="C13">
        <v>1416</v>
      </c>
      <c r="D13">
        <v>1479</v>
      </c>
      <c r="E13">
        <v>2000</v>
      </c>
      <c r="F13">
        <v>62</v>
      </c>
      <c r="G13">
        <v>3.1E-2</v>
      </c>
      <c r="H13">
        <v>1705</v>
      </c>
      <c r="I13">
        <v>1880</v>
      </c>
      <c r="J13">
        <v>2.2000000000000002</v>
      </c>
      <c r="K13">
        <v>5</v>
      </c>
    </row>
    <row r="14" spans="1:11" x14ac:dyDescent="0.3">
      <c r="A14" t="s">
        <v>15</v>
      </c>
      <c r="B14" t="s">
        <v>23</v>
      </c>
      <c r="C14">
        <v>2169</v>
      </c>
      <c r="D14">
        <v>2018</v>
      </c>
      <c r="E14">
        <v>2000</v>
      </c>
      <c r="F14">
        <v>100</v>
      </c>
      <c r="G14">
        <v>4.99E-2</v>
      </c>
      <c r="H14">
        <v>1501</v>
      </c>
      <c r="I14">
        <v>2189</v>
      </c>
      <c r="J14">
        <v>3.5</v>
      </c>
      <c r="K14">
        <v>7</v>
      </c>
    </row>
    <row r="15" spans="1:11" x14ac:dyDescent="0.3">
      <c r="A15" t="s">
        <v>15</v>
      </c>
      <c r="B15" t="s">
        <v>24</v>
      </c>
      <c r="C15">
        <v>1503</v>
      </c>
      <c r="D15">
        <v>1408</v>
      </c>
      <c r="E15">
        <v>2000</v>
      </c>
      <c r="F15">
        <v>94</v>
      </c>
      <c r="G15">
        <v>4.7E-2</v>
      </c>
      <c r="H15">
        <v>1976</v>
      </c>
      <c r="I15">
        <v>1990</v>
      </c>
      <c r="J15">
        <v>2.8</v>
      </c>
      <c r="K15">
        <v>6</v>
      </c>
    </row>
    <row r="16" spans="1:11" x14ac:dyDescent="0.3">
      <c r="A16" t="s">
        <v>15</v>
      </c>
      <c r="B16" t="s">
        <v>25</v>
      </c>
      <c r="C16">
        <v>1451</v>
      </c>
      <c r="D16">
        <v>1468</v>
      </c>
      <c r="E16">
        <v>2000</v>
      </c>
      <c r="F16">
        <v>87</v>
      </c>
      <c r="G16">
        <v>4.3499999999999997E-2</v>
      </c>
      <c r="H16">
        <v>1701</v>
      </c>
      <c r="I16">
        <v>2069</v>
      </c>
      <c r="J16">
        <v>2.2000000000000002</v>
      </c>
      <c r="K16">
        <v>5</v>
      </c>
    </row>
    <row r="17" spans="1:11" x14ac:dyDescent="0.3">
      <c r="A17" t="s">
        <v>16</v>
      </c>
      <c r="B17" t="s">
        <v>23</v>
      </c>
      <c r="C17">
        <v>2100</v>
      </c>
      <c r="D17">
        <v>2203</v>
      </c>
      <c r="E17">
        <v>2000</v>
      </c>
      <c r="F17">
        <v>80</v>
      </c>
      <c r="G17">
        <v>3.9800000000000002E-2</v>
      </c>
      <c r="H17">
        <v>1961</v>
      </c>
      <c r="I17">
        <v>2014</v>
      </c>
      <c r="J17">
        <v>3.5</v>
      </c>
      <c r="K17">
        <v>7</v>
      </c>
    </row>
    <row r="18" spans="1:11" x14ac:dyDescent="0.3">
      <c r="A18" t="s">
        <v>16</v>
      </c>
      <c r="B18" t="s">
        <v>24</v>
      </c>
      <c r="C18">
        <v>1701</v>
      </c>
      <c r="D18">
        <v>1690</v>
      </c>
      <c r="E18">
        <v>2000</v>
      </c>
      <c r="F18">
        <v>80</v>
      </c>
      <c r="G18">
        <v>3.9800000000000002E-2</v>
      </c>
      <c r="H18">
        <v>1707</v>
      </c>
      <c r="I18">
        <v>2036</v>
      </c>
      <c r="J18">
        <v>2.8</v>
      </c>
      <c r="K18">
        <v>6</v>
      </c>
    </row>
    <row r="19" spans="1:11" x14ac:dyDescent="0.3">
      <c r="A19" t="s">
        <v>16</v>
      </c>
      <c r="B19" t="s">
        <v>25</v>
      </c>
      <c r="C19">
        <v>1387</v>
      </c>
      <c r="D19">
        <v>1553</v>
      </c>
      <c r="E19">
        <v>2000</v>
      </c>
      <c r="F19">
        <v>110</v>
      </c>
      <c r="G19">
        <v>5.4899999999999997E-2</v>
      </c>
      <c r="H19">
        <v>1909</v>
      </c>
      <c r="I19">
        <v>2016</v>
      </c>
      <c r="J19">
        <v>2.2000000000000002</v>
      </c>
      <c r="K19">
        <v>5</v>
      </c>
    </row>
    <row r="20" spans="1:11" x14ac:dyDescent="0.3">
      <c r="A20" t="s">
        <v>17</v>
      </c>
      <c r="B20" t="s">
        <v>23</v>
      </c>
      <c r="C20">
        <v>2001</v>
      </c>
      <c r="D20">
        <v>1988</v>
      </c>
      <c r="E20">
        <v>2000</v>
      </c>
      <c r="F20">
        <v>93</v>
      </c>
      <c r="G20">
        <v>4.6300000000000001E-2</v>
      </c>
      <c r="H20">
        <v>1540</v>
      </c>
      <c r="I20">
        <v>1956</v>
      </c>
      <c r="J20">
        <v>3.5</v>
      </c>
      <c r="K20">
        <v>7</v>
      </c>
    </row>
    <row r="21" spans="1:11" x14ac:dyDescent="0.3">
      <c r="A21" t="s">
        <v>17</v>
      </c>
      <c r="B21" t="s">
        <v>24</v>
      </c>
      <c r="C21">
        <v>1464</v>
      </c>
      <c r="D21">
        <v>1564</v>
      </c>
      <c r="E21">
        <v>2000</v>
      </c>
      <c r="F21">
        <v>64</v>
      </c>
      <c r="G21">
        <v>3.2199999999999999E-2</v>
      </c>
      <c r="H21">
        <v>1826</v>
      </c>
      <c r="I21">
        <v>1808</v>
      </c>
      <c r="J21">
        <v>2.8</v>
      </c>
      <c r="K21">
        <v>6</v>
      </c>
    </row>
    <row r="22" spans="1:11" x14ac:dyDescent="0.3">
      <c r="A22" t="s">
        <v>17</v>
      </c>
      <c r="B22" t="s">
        <v>25</v>
      </c>
      <c r="C22">
        <v>1393</v>
      </c>
      <c r="D22">
        <v>1321</v>
      </c>
      <c r="E22">
        <v>2000</v>
      </c>
      <c r="F22">
        <v>72</v>
      </c>
      <c r="G22">
        <v>3.5999999999999997E-2</v>
      </c>
      <c r="H22">
        <v>1971</v>
      </c>
      <c r="I22">
        <v>1862</v>
      </c>
      <c r="J22">
        <v>2.2000000000000002</v>
      </c>
      <c r="K22">
        <v>5</v>
      </c>
    </row>
    <row r="23" spans="1:11" x14ac:dyDescent="0.3">
      <c r="A23" t="s">
        <v>18</v>
      </c>
      <c r="B23" t="s">
        <v>23</v>
      </c>
      <c r="C23">
        <v>1888</v>
      </c>
      <c r="D23">
        <v>1768</v>
      </c>
      <c r="E23">
        <v>2000</v>
      </c>
      <c r="F23">
        <v>103</v>
      </c>
      <c r="G23">
        <v>5.1299999999999998E-2</v>
      </c>
      <c r="H23">
        <v>1918</v>
      </c>
      <c r="I23">
        <v>2088</v>
      </c>
      <c r="J23">
        <v>3.5</v>
      </c>
      <c r="K23">
        <v>7</v>
      </c>
    </row>
    <row r="24" spans="1:11" x14ac:dyDescent="0.3">
      <c r="A24" t="s">
        <v>18</v>
      </c>
      <c r="B24" t="s">
        <v>24</v>
      </c>
      <c r="C24">
        <v>1828</v>
      </c>
      <c r="D24">
        <v>1888</v>
      </c>
      <c r="E24">
        <v>2000</v>
      </c>
      <c r="F24">
        <v>116</v>
      </c>
      <c r="G24">
        <v>5.7799999999999997E-2</v>
      </c>
      <c r="H24">
        <v>1540</v>
      </c>
      <c r="I24">
        <v>1827</v>
      </c>
      <c r="J24">
        <v>2.8</v>
      </c>
      <c r="K24">
        <v>6</v>
      </c>
    </row>
    <row r="25" spans="1:11" x14ac:dyDescent="0.3">
      <c r="A25" t="s">
        <v>18</v>
      </c>
      <c r="B25" t="s">
        <v>25</v>
      </c>
      <c r="C25">
        <v>1184</v>
      </c>
      <c r="D25">
        <v>1184</v>
      </c>
      <c r="E25">
        <v>2000</v>
      </c>
      <c r="F25">
        <v>97</v>
      </c>
      <c r="G25">
        <v>4.87E-2</v>
      </c>
      <c r="H25">
        <v>1917</v>
      </c>
      <c r="I25">
        <v>1832</v>
      </c>
      <c r="J25">
        <v>2.2000000000000002</v>
      </c>
      <c r="K25">
        <v>5</v>
      </c>
    </row>
    <row r="26" spans="1:11" x14ac:dyDescent="0.3">
      <c r="A26" t="s">
        <v>19</v>
      </c>
      <c r="B26" t="s">
        <v>23</v>
      </c>
      <c r="C26">
        <v>1797</v>
      </c>
      <c r="D26">
        <v>1658</v>
      </c>
      <c r="E26">
        <v>2000</v>
      </c>
      <c r="F26">
        <v>80</v>
      </c>
      <c r="G26">
        <v>3.9800000000000002E-2</v>
      </c>
      <c r="H26">
        <v>1598</v>
      </c>
      <c r="I26">
        <v>1971</v>
      </c>
      <c r="J26">
        <v>3.5</v>
      </c>
      <c r="K26">
        <v>7</v>
      </c>
    </row>
    <row r="27" spans="1:11" x14ac:dyDescent="0.3">
      <c r="A27" t="s">
        <v>19</v>
      </c>
      <c r="B27" t="s">
        <v>24</v>
      </c>
      <c r="C27">
        <v>1809</v>
      </c>
      <c r="D27">
        <v>1822</v>
      </c>
      <c r="E27">
        <v>2000</v>
      </c>
      <c r="F27">
        <v>113</v>
      </c>
      <c r="G27">
        <v>5.6599999999999998E-2</v>
      </c>
      <c r="H27">
        <v>1948</v>
      </c>
      <c r="I27">
        <v>2026</v>
      </c>
      <c r="J27">
        <v>2.8</v>
      </c>
      <c r="K27">
        <v>6</v>
      </c>
    </row>
    <row r="28" spans="1:11" x14ac:dyDescent="0.3">
      <c r="A28" t="s">
        <v>19</v>
      </c>
      <c r="B28" t="s">
        <v>25</v>
      </c>
      <c r="C28">
        <v>1150</v>
      </c>
      <c r="D28">
        <v>1080</v>
      </c>
      <c r="E28">
        <v>2000</v>
      </c>
      <c r="F28">
        <v>106</v>
      </c>
      <c r="G28">
        <v>5.28E-2</v>
      </c>
      <c r="H28">
        <v>1717</v>
      </c>
      <c r="I28">
        <v>2054</v>
      </c>
      <c r="J28">
        <v>2.2000000000000002</v>
      </c>
      <c r="K28">
        <v>5</v>
      </c>
    </row>
    <row r="29" spans="1:11" x14ac:dyDescent="0.3">
      <c r="A29" t="s">
        <v>20</v>
      </c>
      <c r="B29" t="s">
        <v>23</v>
      </c>
      <c r="C29">
        <v>2147</v>
      </c>
      <c r="D29">
        <v>2305</v>
      </c>
      <c r="E29">
        <v>2000</v>
      </c>
      <c r="F29">
        <v>62</v>
      </c>
      <c r="G29">
        <v>3.1199999999999999E-2</v>
      </c>
      <c r="H29">
        <v>1706</v>
      </c>
      <c r="I29">
        <v>1814</v>
      </c>
      <c r="J29">
        <v>3.5</v>
      </c>
      <c r="K29">
        <v>7</v>
      </c>
    </row>
    <row r="30" spans="1:11" x14ac:dyDescent="0.3">
      <c r="A30" t="s">
        <v>20</v>
      </c>
      <c r="B30" t="s">
        <v>24</v>
      </c>
      <c r="C30">
        <v>1795</v>
      </c>
      <c r="D30">
        <v>1636</v>
      </c>
      <c r="E30">
        <v>2000</v>
      </c>
      <c r="F30">
        <v>86</v>
      </c>
      <c r="G30">
        <v>4.3200000000000002E-2</v>
      </c>
      <c r="H30">
        <v>1678</v>
      </c>
      <c r="I30">
        <v>1862</v>
      </c>
      <c r="J30">
        <v>2.8</v>
      </c>
      <c r="K30">
        <v>6</v>
      </c>
    </row>
    <row r="31" spans="1:11" x14ac:dyDescent="0.3">
      <c r="A31" t="s">
        <v>20</v>
      </c>
      <c r="B31" t="s">
        <v>25</v>
      </c>
      <c r="C31">
        <v>1401</v>
      </c>
      <c r="D31">
        <v>1431</v>
      </c>
      <c r="E31">
        <v>2000</v>
      </c>
      <c r="F31">
        <v>89</v>
      </c>
      <c r="G31">
        <v>4.4299999999999999E-2</v>
      </c>
      <c r="H31">
        <v>1595</v>
      </c>
      <c r="I31">
        <v>2187</v>
      </c>
      <c r="J31">
        <v>2.2000000000000002</v>
      </c>
      <c r="K31">
        <v>5</v>
      </c>
    </row>
    <row r="32" spans="1:11" x14ac:dyDescent="0.3">
      <c r="A32" t="s">
        <v>21</v>
      </c>
      <c r="B32" t="s">
        <v>23</v>
      </c>
      <c r="C32">
        <v>1971</v>
      </c>
      <c r="D32">
        <v>2001</v>
      </c>
      <c r="E32">
        <v>2000</v>
      </c>
      <c r="F32">
        <v>85</v>
      </c>
      <c r="G32">
        <v>4.2299999999999997E-2</v>
      </c>
      <c r="H32">
        <v>1670</v>
      </c>
      <c r="I32">
        <v>1828</v>
      </c>
      <c r="J32">
        <v>3.5</v>
      </c>
      <c r="K32">
        <v>7</v>
      </c>
    </row>
    <row r="33" spans="1:11" x14ac:dyDescent="0.3">
      <c r="A33" t="s">
        <v>21</v>
      </c>
      <c r="B33" t="s">
        <v>24</v>
      </c>
      <c r="C33">
        <v>1485</v>
      </c>
      <c r="D33">
        <v>1297</v>
      </c>
      <c r="E33">
        <v>2000</v>
      </c>
      <c r="F33">
        <v>65</v>
      </c>
      <c r="G33">
        <v>3.2300000000000002E-2</v>
      </c>
      <c r="H33">
        <v>1686</v>
      </c>
      <c r="I33">
        <v>2042</v>
      </c>
      <c r="J33">
        <v>2.8</v>
      </c>
      <c r="K33">
        <v>6</v>
      </c>
    </row>
    <row r="34" spans="1:11" x14ac:dyDescent="0.3">
      <c r="A34" t="s">
        <v>21</v>
      </c>
      <c r="B34" t="s">
        <v>25</v>
      </c>
      <c r="C34">
        <v>1135</v>
      </c>
      <c r="D34">
        <v>1218</v>
      </c>
      <c r="E34">
        <v>2000</v>
      </c>
      <c r="F34">
        <v>116</v>
      </c>
      <c r="G34">
        <v>5.79E-2</v>
      </c>
      <c r="H34">
        <v>1544</v>
      </c>
      <c r="I34">
        <v>1861</v>
      </c>
      <c r="J34">
        <v>2.2000000000000002</v>
      </c>
      <c r="K34">
        <v>5</v>
      </c>
    </row>
    <row r="35" spans="1:11" x14ac:dyDescent="0.3">
      <c r="A35" t="s">
        <v>22</v>
      </c>
      <c r="B35" t="s">
        <v>23</v>
      </c>
      <c r="C35">
        <v>2190</v>
      </c>
      <c r="D35">
        <v>2123</v>
      </c>
      <c r="E35">
        <v>2000</v>
      </c>
      <c r="F35">
        <v>87</v>
      </c>
      <c r="G35">
        <v>4.3700000000000003E-2</v>
      </c>
      <c r="H35">
        <v>1607</v>
      </c>
      <c r="I35">
        <v>1843</v>
      </c>
      <c r="J35">
        <v>3.5</v>
      </c>
      <c r="K35">
        <v>7</v>
      </c>
    </row>
    <row r="36" spans="1:11" x14ac:dyDescent="0.3">
      <c r="A36" t="s">
        <v>22</v>
      </c>
      <c r="B36" t="s">
        <v>24</v>
      </c>
      <c r="C36">
        <v>1789</v>
      </c>
      <c r="D36">
        <v>1874</v>
      </c>
      <c r="E36">
        <v>2000</v>
      </c>
      <c r="F36">
        <v>113</v>
      </c>
      <c r="G36">
        <v>5.6500000000000002E-2</v>
      </c>
      <c r="H36">
        <v>1627</v>
      </c>
      <c r="I36">
        <v>2147</v>
      </c>
      <c r="J36">
        <v>2.8</v>
      </c>
      <c r="K36">
        <v>6</v>
      </c>
    </row>
    <row r="37" spans="1:11" x14ac:dyDescent="0.3">
      <c r="A37" t="s">
        <v>22</v>
      </c>
      <c r="B37" t="s">
        <v>25</v>
      </c>
      <c r="C37">
        <v>1522</v>
      </c>
      <c r="D37">
        <v>1552</v>
      </c>
      <c r="E37">
        <v>2000</v>
      </c>
      <c r="F37">
        <v>114</v>
      </c>
      <c r="G37">
        <v>5.7200000000000001E-2</v>
      </c>
      <c r="H37">
        <v>1884</v>
      </c>
      <c r="I37">
        <v>2176</v>
      </c>
      <c r="J37">
        <v>2.2000000000000002</v>
      </c>
      <c r="K37">
        <v>5</v>
      </c>
    </row>
  </sheetData>
  <autoFilter ref="A1:K37" xr:uid="{00000000-0001-0000-0000-000000000000}">
    <filterColumn colId="1">
      <filters>
        <filter val="Cold Brew"/>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C5E86-CAA9-43C0-8EEB-87383DF3B1FE}">
  <dimension ref="A1:S68"/>
  <sheetViews>
    <sheetView topLeftCell="P1" zoomScale="40" zoomScaleNormal="40" workbookViewId="0">
      <selection activeCell="AG14" sqref="AG14"/>
    </sheetView>
  </sheetViews>
  <sheetFormatPr defaultColWidth="8.77734375" defaultRowHeight="14.4" x14ac:dyDescent="0.3"/>
  <cols>
    <col min="1" max="1" width="10.6640625" bestFit="1" customWidth="1"/>
    <col min="2" max="2" width="12.6640625" bestFit="1" customWidth="1"/>
    <col min="3" max="3" width="32.109375" bestFit="1" customWidth="1"/>
    <col min="4" max="4" width="21.5546875" bestFit="1" customWidth="1"/>
    <col min="5" max="5" width="22.6640625" bestFit="1" customWidth="1"/>
    <col min="6" max="6" width="21.77734375" bestFit="1" customWidth="1"/>
    <col min="7" max="7" width="34.5546875" bestFit="1" customWidth="1"/>
    <col min="8" max="8" width="19" bestFit="1" customWidth="1"/>
    <col min="9" max="9" width="21" bestFit="1" customWidth="1"/>
    <col min="10" max="10" width="15.6640625" bestFit="1" customWidth="1"/>
    <col min="11" max="11" width="16" bestFit="1" customWidth="1"/>
    <col min="12" max="12" width="29.33203125" bestFit="1" customWidth="1"/>
    <col min="13" max="13" width="30.44140625" bestFit="1" customWidth="1"/>
    <col min="14" max="14" width="7.6640625" bestFit="1" customWidth="1"/>
    <col min="15" max="15" width="7.88671875" bestFit="1" customWidth="1"/>
    <col min="17" max="17" width="21.21875" bestFit="1" customWidth="1"/>
    <col min="18" max="18" width="23.21875" bestFit="1" customWidth="1"/>
    <col min="19" max="19" width="22.6640625" bestFit="1" customWidth="1"/>
  </cols>
  <sheetData>
    <row r="1" spans="1:19" s="67" customFormat="1" ht="26.4" thickBot="1" x14ac:dyDescent="0.55000000000000004">
      <c r="A1" s="65" t="s">
        <v>63</v>
      </c>
      <c r="B1" s="66"/>
      <c r="C1" s="66"/>
      <c r="D1" s="66"/>
      <c r="E1" s="66"/>
      <c r="F1" s="66"/>
      <c r="G1" s="66"/>
      <c r="H1" s="66"/>
      <c r="I1" s="66"/>
      <c r="J1" s="66"/>
      <c r="K1" s="66"/>
      <c r="L1" s="66"/>
      <c r="M1" s="66"/>
      <c r="N1" s="66"/>
      <c r="O1" s="66"/>
    </row>
    <row r="2" spans="1:19" ht="15.6" x14ac:dyDescent="0.3">
      <c r="A2" s="59" t="s">
        <v>0</v>
      </c>
      <c r="B2" s="59" t="s">
        <v>1</v>
      </c>
      <c r="C2" s="59" t="s">
        <v>2</v>
      </c>
      <c r="D2" s="59" t="s">
        <v>3</v>
      </c>
      <c r="E2" s="59" t="s">
        <v>9</v>
      </c>
      <c r="F2" s="59" t="s">
        <v>10</v>
      </c>
      <c r="G2" s="59" t="s">
        <v>4</v>
      </c>
      <c r="H2" s="59" t="s">
        <v>5</v>
      </c>
      <c r="I2" s="59" t="s">
        <v>6</v>
      </c>
      <c r="J2" s="59" t="s">
        <v>7</v>
      </c>
      <c r="K2" s="59" t="s">
        <v>8</v>
      </c>
      <c r="L2" s="59" t="s">
        <v>56</v>
      </c>
      <c r="M2" s="59" t="s">
        <v>57</v>
      </c>
      <c r="N2" s="59" t="s">
        <v>58</v>
      </c>
      <c r="O2" s="59" t="s">
        <v>59</v>
      </c>
    </row>
    <row r="3" spans="1:19" ht="15.6" x14ac:dyDescent="0.3">
      <c r="A3" s="36" t="s">
        <v>11</v>
      </c>
      <c r="B3" s="36" t="s">
        <v>23</v>
      </c>
      <c r="C3" s="36">
        <v>1852</v>
      </c>
      <c r="D3" s="36">
        <v>2000</v>
      </c>
      <c r="E3" s="36">
        <v>2000</v>
      </c>
      <c r="F3" s="36">
        <v>71</v>
      </c>
      <c r="G3" s="36">
        <v>3.5499999999999997E-2</v>
      </c>
      <c r="H3" s="36">
        <v>1571</v>
      </c>
      <c r="I3" s="36">
        <v>1988</v>
      </c>
      <c r="J3" s="36">
        <v>3.5</v>
      </c>
      <c r="K3" s="36">
        <v>7</v>
      </c>
      <c r="L3" s="57">
        <f>H3/I3</f>
        <v>0.79024144869215296</v>
      </c>
      <c r="M3" s="58">
        <f>$Q$5</f>
        <v>4.2625000000000003E-2</v>
      </c>
      <c r="N3" s="58">
        <f>$R$7</f>
        <v>5.6176254266210937E-2</v>
      </c>
      <c r="O3" s="58">
        <f>$S$7</f>
        <v>2.9073745733789069E-2</v>
      </c>
    </row>
    <row r="4" spans="1:19" ht="15.6" x14ac:dyDescent="0.3">
      <c r="A4" s="36" t="s">
        <v>12</v>
      </c>
      <c r="B4" s="36" t="s">
        <v>23</v>
      </c>
      <c r="C4" s="36">
        <v>1880</v>
      </c>
      <c r="D4" s="36">
        <v>1829</v>
      </c>
      <c r="E4" s="36">
        <v>2000</v>
      </c>
      <c r="F4" s="36">
        <v>63</v>
      </c>
      <c r="G4" s="36">
        <v>3.1699999999999999E-2</v>
      </c>
      <c r="H4" s="36">
        <v>1843</v>
      </c>
      <c r="I4" s="36">
        <v>2093</v>
      </c>
      <c r="J4" s="36">
        <v>3.5</v>
      </c>
      <c r="K4" s="36">
        <v>7</v>
      </c>
      <c r="L4" s="57">
        <f t="shared" ref="L4:L14" si="0">H4/I4</f>
        <v>0.88055422838031538</v>
      </c>
      <c r="M4" s="58">
        <f t="shared" ref="M4:M14" si="1">$Q$5</f>
        <v>4.2625000000000003E-2</v>
      </c>
      <c r="N4" s="58">
        <f t="shared" ref="N4:N14" si="2">$R$7</f>
        <v>5.6176254266210937E-2</v>
      </c>
      <c r="O4" s="58">
        <f t="shared" ref="O4:O14" si="3">$S$7</f>
        <v>2.9073745733789069E-2</v>
      </c>
      <c r="Q4" s="56" t="s">
        <v>60</v>
      </c>
      <c r="R4" s="56" t="s">
        <v>61</v>
      </c>
      <c r="S4" s="56" t="s">
        <v>62</v>
      </c>
    </row>
    <row r="5" spans="1:19" ht="15.6" x14ac:dyDescent="0.3">
      <c r="A5" s="36" t="s">
        <v>13</v>
      </c>
      <c r="B5" s="36" t="s">
        <v>23</v>
      </c>
      <c r="C5" s="36">
        <v>1919</v>
      </c>
      <c r="D5" s="36">
        <v>1906</v>
      </c>
      <c r="E5" s="36">
        <v>2000</v>
      </c>
      <c r="F5" s="36">
        <v>82</v>
      </c>
      <c r="G5" s="36">
        <v>4.1000000000000002E-2</v>
      </c>
      <c r="H5" s="36">
        <v>1689</v>
      </c>
      <c r="I5" s="36">
        <v>1974</v>
      </c>
      <c r="J5" s="36">
        <v>3.5</v>
      </c>
      <c r="K5" s="36">
        <v>7</v>
      </c>
      <c r="L5" s="57">
        <f t="shared" si="0"/>
        <v>0.85562310030395139</v>
      </c>
      <c r="M5" s="58">
        <f t="shared" si="1"/>
        <v>4.2625000000000003E-2</v>
      </c>
      <c r="N5" s="58">
        <f t="shared" si="2"/>
        <v>5.6176254266210937E-2</v>
      </c>
      <c r="O5" s="58">
        <f t="shared" si="3"/>
        <v>2.9073745733789069E-2</v>
      </c>
      <c r="Q5" s="55">
        <f>(SUM(F3:F14))/(12*E3)</f>
        <v>4.2625000000000003E-2</v>
      </c>
      <c r="R5" s="55">
        <f>Q5*(1-Q5)/2000</f>
        <v>2.0404054687500002E-5</v>
      </c>
      <c r="S5" s="55">
        <f>Q5*(1-Q5)/2000</f>
        <v>2.0404054687500002E-5</v>
      </c>
    </row>
    <row r="6" spans="1:19" ht="15.6" x14ac:dyDescent="0.3">
      <c r="A6" s="36" t="s">
        <v>14</v>
      </c>
      <c r="B6" s="36" t="s">
        <v>23</v>
      </c>
      <c r="C6" s="36">
        <v>2023</v>
      </c>
      <c r="D6" s="36">
        <v>2210</v>
      </c>
      <c r="E6" s="36">
        <v>2000</v>
      </c>
      <c r="F6" s="36">
        <v>117</v>
      </c>
      <c r="G6" s="36">
        <v>5.8299999999999998E-2</v>
      </c>
      <c r="H6" s="36">
        <v>1513</v>
      </c>
      <c r="I6" s="36">
        <v>2041</v>
      </c>
      <c r="J6" s="36">
        <v>3.5</v>
      </c>
      <c r="K6" s="36">
        <v>7</v>
      </c>
      <c r="L6" s="57">
        <f t="shared" si="0"/>
        <v>0.74130328270455659</v>
      </c>
      <c r="M6" s="58">
        <f t="shared" si="1"/>
        <v>4.2625000000000003E-2</v>
      </c>
      <c r="N6" s="58">
        <f t="shared" si="2"/>
        <v>5.6176254266210937E-2</v>
      </c>
      <c r="O6" s="58">
        <f t="shared" si="3"/>
        <v>2.9073745733789069E-2</v>
      </c>
      <c r="Q6" s="55"/>
      <c r="R6" s="55">
        <f>3*SQRT(R5)</f>
        <v>1.3551254266210934E-2</v>
      </c>
      <c r="S6" s="55">
        <f>3*SQRT(S5)</f>
        <v>1.3551254266210934E-2</v>
      </c>
    </row>
    <row r="7" spans="1:19" ht="15.6" x14ac:dyDescent="0.3">
      <c r="A7" s="36" t="s">
        <v>15</v>
      </c>
      <c r="B7" s="36" t="s">
        <v>23</v>
      </c>
      <c r="C7" s="36">
        <v>2169</v>
      </c>
      <c r="D7" s="36">
        <v>2018</v>
      </c>
      <c r="E7" s="36">
        <v>2000</v>
      </c>
      <c r="F7" s="36">
        <v>100</v>
      </c>
      <c r="G7" s="36">
        <v>4.99E-2</v>
      </c>
      <c r="H7" s="36">
        <v>1501</v>
      </c>
      <c r="I7" s="36">
        <v>2189</v>
      </c>
      <c r="J7" s="36">
        <v>3.5</v>
      </c>
      <c r="K7" s="36">
        <v>7</v>
      </c>
      <c r="L7" s="57">
        <f t="shared" si="0"/>
        <v>0.68570123343992695</v>
      </c>
      <c r="M7" s="58">
        <f t="shared" si="1"/>
        <v>4.2625000000000003E-2</v>
      </c>
      <c r="N7" s="58">
        <f t="shared" si="2"/>
        <v>5.6176254266210937E-2</v>
      </c>
      <c r="O7" s="58">
        <f t="shared" si="3"/>
        <v>2.9073745733789069E-2</v>
      </c>
      <c r="Q7" s="55"/>
      <c r="R7" s="55">
        <f>Q5+R6</f>
        <v>5.6176254266210937E-2</v>
      </c>
      <c r="S7" s="55">
        <f>Q5-S6</f>
        <v>2.9073745733789069E-2</v>
      </c>
    </row>
    <row r="8" spans="1:19" ht="15.6" x14ac:dyDescent="0.3">
      <c r="A8" s="36" t="s">
        <v>16</v>
      </c>
      <c r="B8" s="36" t="s">
        <v>23</v>
      </c>
      <c r="C8" s="36">
        <v>2100</v>
      </c>
      <c r="D8" s="36">
        <v>2203</v>
      </c>
      <c r="E8" s="36">
        <v>2000</v>
      </c>
      <c r="F8" s="36">
        <v>80</v>
      </c>
      <c r="G8" s="36">
        <v>3.9800000000000002E-2</v>
      </c>
      <c r="H8" s="36">
        <v>1961</v>
      </c>
      <c r="I8" s="36">
        <v>2014</v>
      </c>
      <c r="J8" s="36">
        <v>3.5</v>
      </c>
      <c r="K8" s="36">
        <v>7</v>
      </c>
      <c r="L8" s="57">
        <f t="shared" si="0"/>
        <v>0.97368421052631582</v>
      </c>
      <c r="M8" s="58">
        <f t="shared" si="1"/>
        <v>4.2625000000000003E-2</v>
      </c>
      <c r="N8" s="58">
        <f t="shared" si="2"/>
        <v>5.6176254266210937E-2</v>
      </c>
      <c r="O8" s="58">
        <f t="shared" si="3"/>
        <v>2.9073745733789069E-2</v>
      </c>
    </row>
    <row r="9" spans="1:19" ht="15.6" x14ac:dyDescent="0.3">
      <c r="A9" s="36" t="s">
        <v>17</v>
      </c>
      <c r="B9" s="36" t="s">
        <v>23</v>
      </c>
      <c r="C9" s="36">
        <v>2001</v>
      </c>
      <c r="D9" s="36">
        <v>1988</v>
      </c>
      <c r="E9" s="36">
        <v>2000</v>
      </c>
      <c r="F9" s="36">
        <v>93</v>
      </c>
      <c r="G9" s="36">
        <v>4.6300000000000001E-2</v>
      </c>
      <c r="H9" s="36">
        <v>1540</v>
      </c>
      <c r="I9" s="36">
        <v>1956</v>
      </c>
      <c r="J9" s="36">
        <v>3.5</v>
      </c>
      <c r="K9" s="36">
        <v>7</v>
      </c>
      <c r="L9" s="57">
        <f t="shared" si="0"/>
        <v>0.787321063394683</v>
      </c>
      <c r="M9" s="58">
        <f t="shared" si="1"/>
        <v>4.2625000000000003E-2</v>
      </c>
      <c r="N9" s="58">
        <f t="shared" si="2"/>
        <v>5.6176254266210937E-2</v>
      </c>
      <c r="O9" s="58">
        <f t="shared" si="3"/>
        <v>2.9073745733789069E-2</v>
      </c>
    </row>
    <row r="10" spans="1:19" ht="15.6" x14ac:dyDescent="0.3">
      <c r="A10" s="36" t="s">
        <v>18</v>
      </c>
      <c r="B10" s="36" t="s">
        <v>23</v>
      </c>
      <c r="C10" s="36">
        <v>1888</v>
      </c>
      <c r="D10" s="36">
        <v>1768</v>
      </c>
      <c r="E10" s="36">
        <v>2000</v>
      </c>
      <c r="F10" s="36">
        <v>103</v>
      </c>
      <c r="G10" s="36">
        <v>5.1299999999999998E-2</v>
      </c>
      <c r="H10" s="36">
        <v>1918</v>
      </c>
      <c r="I10" s="36">
        <v>2088</v>
      </c>
      <c r="J10" s="36">
        <v>3.5</v>
      </c>
      <c r="K10" s="36">
        <v>7</v>
      </c>
      <c r="L10" s="57">
        <f t="shared" si="0"/>
        <v>0.91858237547892718</v>
      </c>
      <c r="M10" s="58">
        <f t="shared" si="1"/>
        <v>4.2625000000000003E-2</v>
      </c>
      <c r="N10" s="58">
        <f t="shared" si="2"/>
        <v>5.6176254266210937E-2</v>
      </c>
      <c r="O10" s="58">
        <f t="shared" si="3"/>
        <v>2.9073745733789069E-2</v>
      </c>
    </row>
    <row r="11" spans="1:19" ht="15.6" x14ac:dyDescent="0.3">
      <c r="A11" s="36" t="s">
        <v>19</v>
      </c>
      <c r="B11" s="36" t="s">
        <v>23</v>
      </c>
      <c r="C11" s="36">
        <v>1797</v>
      </c>
      <c r="D11" s="36">
        <v>1658</v>
      </c>
      <c r="E11" s="36">
        <v>2000</v>
      </c>
      <c r="F11" s="36">
        <v>80</v>
      </c>
      <c r="G11" s="36">
        <v>3.9800000000000002E-2</v>
      </c>
      <c r="H11" s="36">
        <v>1598</v>
      </c>
      <c r="I11" s="36">
        <v>1971</v>
      </c>
      <c r="J11" s="36">
        <v>3.5</v>
      </c>
      <c r="K11" s="36">
        <v>7</v>
      </c>
      <c r="L11" s="57">
        <f t="shared" si="0"/>
        <v>0.8107559614408929</v>
      </c>
      <c r="M11" s="58">
        <f t="shared" si="1"/>
        <v>4.2625000000000003E-2</v>
      </c>
      <c r="N11" s="58">
        <f t="shared" si="2"/>
        <v>5.6176254266210937E-2</v>
      </c>
      <c r="O11" s="58">
        <f t="shared" si="3"/>
        <v>2.9073745733789069E-2</v>
      </c>
    </row>
    <row r="12" spans="1:19" ht="15.6" x14ac:dyDescent="0.3">
      <c r="A12" s="36" t="s">
        <v>20</v>
      </c>
      <c r="B12" s="36" t="s">
        <v>23</v>
      </c>
      <c r="C12" s="36">
        <v>2147</v>
      </c>
      <c r="D12" s="36">
        <v>2305</v>
      </c>
      <c r="E12" s="36">
        <v>2000</v>
      </c>
      <c r="F12" s="36">
        <v>62</v>
      </c>
      <c r="G12" s="36">
        <v>3.1199999999999999E-2</v>
      </c>
      <c r="H12" s="36">
        <v>1706</v>
      </c>
      <c r="I12" s="36">
        <v>1814</v>
      </c>
      <c r="J12" s="36">
        <v>3.5</v>
      </c>
      <c r="K12" s="36">
        <v>7</v>
      </c>
      <c r="L12" s="57">
        <f t="shared" si="0"/>
        <v>0.94046306504961408</v>
      </c>
      <c r="M12" s="58">
        <f t="shared" si="1"/>
        <v>4.2625000000000003E-2</v>
      </c>
      <c r="N12" s="58">
        <f t="shared" si="2"/>
        <v>5.6176254266210937E-2</v>
      </c>
      <c r="O12" s="58">
        <f t="shared" si="3"/>
        <v>2.9073745733789069E-2</v>
      </c>
    </row>
    <row r="13" spans="1:19" ht="15.6" x14ac:dyDescent="0.3">
      <c r="A13" s="36" t="s">
        <v>21</v>
      </c>
      <c r="B13" s="36" t="s">
        <v>23</v>
      </c>
      <c r="C13" s="36">
        <v>1971</v>
      </c>
      <c r="D13" s="36">
        <v>2001</v>
      </c>
      <c r="E13" s="36">
        <v>2000</v>
      </c>
      <c r="F13" s="36">
        <v>85</v>
      </c>
      <c r="G13" s="36">
        <v>4.2299999999999997E-2</v>
      </c>
      <c r="H13" s="36">
        <v>1670</v>
      </c>
      <c r="I13" s="36">
        <v>1828</v>
      </c>
      <c r="J13" s="36">
        <v>3.5</v>
      </c>
      <c r="K13" s="36">
        <v>7</v>
      </c>
      <c r="L13" s="57">
        <f t="shared" si="0"/>
        <v>0.91356673960612689</v>
      </c>
      <c r="M13" s="58">
        <f t="shared" si="1"/>
        <v>4.2625000000000003E-2</v>
      </c>
      <c r="N13" s="58">
        <f t="shared" si="2"/>
        <v>5.6176254266210937E-2</v>
      </c>
      <c r="O13" s="58">
        <f t="shared" si="3"/>
        <v>2.9073745733789069E-2</v>
      </c>
    </row>
    <row r="14" spans="1:19" ht="15.6" x14ac:dyDescent="0.3">
      <c r="A14" s="36" t="s">
        <v>22</v>
      </c>
      <c r="B14" s="36" t="s">
        <v>23</v>
      </c>
      <c r="C14" s="36">
        <v>2190</v>
      </c>
      <c r="D14" s="36">
        <v>2123</v>
      </c>
      <c r="E14" s="36">
        <v>2000</v>
      </c>
      <c r="F14" s="36">
        <v>87</v>
      </c>
      <c r="G14" s="36">
        <v>4.3700000000000003E-2</v>
      </c>
      <c r="H14" s="36">
        <v>1607</v>
      </c>
      <c r="I14" s="36">
        <v>1843</v>
      </c>
      <c r="J14" s="36">
        <v>3.5</v>
      </c>
      <c r="K14" s="36">
        <v>7</v>
      </c>
      <c r="L14" s="57">
        <f t="shared" si="0"/>
        <v>0.87194791101465008</v>
      </c>
      <c r="M14" s="58">
        <f t="shared" si="1"/>
        <v>4.2625000000000003E-2</v>
      </c>
      <c r="N14" s="58">
        <f t="shared" si="2"/>
        <v>5.6176254266210937E-2</v>
      </c>
      <c r="O14" s="58">
        <f t="shared" si="3"/>
        <v>2.9073745733789069E-2</v>
      </c>
    </row>
    <row r="17" spans="1:8" ht="20.399999999999999" x14ac:dyDescent="0.35">
      <c r="C17" s="41" t="s">
        <v>28</v>
      </c>
    </row>
    <row r="19" spans="1:8" ht="31.2" x14ac:dyDescent="0.3">
      <c r="A19" s="42" t="s">
        <v>37</v>
      </c>
      <c r="B19" s="42" t="s">
        <v>30</v>
      </c>
      <c r="D19" s="43" t="s">
        <v>31</v>
      </c>
      <c r="E19" s="43" t="s">
        <v>32</v>
      </c>
      <c r="F19" s="43" t="s">
        <v>33</v>
      </c>
      <c r="G19" s="43" t="s">
        <v>34</v>
      </c>
      <c r="H19" s="43" t="s">
        <v>35</v>
      </c>
    </row>
    <row r="20" spans="1:8" ht="15.6" x14ac:dyDescent="0.3">
      <c r="A20" s="8">
        <v>1</v>
      </c>
      <c r="B20" s="36">
        <v>1852</v>
      </c>
      <c r="D20" s="2"/>
      <c r="E20" s="2"/>
      <c r="F20" s="2"/>
      <c r="G20" s="2"/>
      <c r="H20" s="2"/>
    </row>
    <row r="21" spans="1:8" ht="15.6" x14ac:dyDescent="0.3">
      <c r="A21" s="8">
        <v>2</v>
      </c>
      <c r="B21" s="36">
        <v>1880</v>
      </c>
      <c r="D21" s="2"/>
      <c r="E21" s="2"/>
      <c r="F21" s="2"/>
      <c r="G21" s="2"/>
      <c r="H21" s="2"/>
    </row>
    <row r="22" spans="1:8" ht="15.6" x14ac:dyDescent="0.3">
      <c r="A22" s="8">
        <v>3</v>
      </c>
      <c r="B22" s="36">
        <v>1919</v>
      </c>
      <c r="D22" s="2"/>
      <c r="E22" s="2"/>
      <c r="F22" s="2"/>
      <c r="G22" s="2"/>
      <c r="H22" s="2"/>
    </row>
    <row r="23" spans="1:8" ht="15.6" x14ac:dyDescent="0.3">
      <c r="A23" s="8">
        <v>4</v>
      </c>
      <c r="B23" s="36">
        <v>2023</v>
      </c>
      <c r="D23" s="3">
        <f>(B20+B21+B22)/3</f>
        <v>1883.6666666666667</v>
      </c>
      <c r="E23" s="3">
        <f>B23-D23</f>
        <v>139.33333333333326</v>
      </c>
      <c r="F23" s="3">
        <f>ABS(E23)</f>
        <v>139.33333333333326</v>
      </c>
      <c r="G23" s="3">
        <f>E23^2</f>
        <v>19413.777777777756</v>
      </c>
      <c r="H23" s="49">
        <f>F23/B23</f>
        <v>6.887460866699617E-2</v>
      </c>
    </row>
    <row r="24" spans="1:8" ht="15.6" x14ac:dyDescent="0.3">
      <c r="A24" s="8">
        <v>5</v>
      </c>
      <c r="B24" s="36">
        <v>2169</v>
      </c>
      <c r="D24" s="3">
        <f t="shared" ref="D24:D31" si="4">(B21+B22+B23)/3</f>
        <v>1940.6666666666667</v>
      </c>
      <c r="E24" s="3">
        <f t="shared" ref="E24:E31" si="5">B24-D24</f>
        <v>228.33333333333326</v>
      </c>
      <c r="F24" s="3">
        <f t="shared" ref="F24:F31" si="6">ABS(E24)</f>
        <v>228.33333333333326</v>
      </c>
      <c r="G24" s="3">
        <f t="shared" ref="G24:G31" si="7">E24^2</f>
        <v>52136.111111111073</v>
      </c>
      <c r="H24" s="49">
        <f t="shared" ref="H24:H31" si="8">F24/B24</f>
        <v>0.10527124635008449</v>
      </c>
    </row>
    <row r="25" spans="1:8" ht="15.6" x14ac:dyDescent="0.3">
      <c r="A25" s="8">
        <v>6</v>
      </c>
      <c r="B25" s="36">
        <v>2100</v>
      </c>
      <c r="D25" s="3">
        <f t="shared" si="4"/>
        <v>2037</v>
      </c>
      <c r="E25" s="3">
        <f t="shared" si="5"/>
        <v>63</v>
      </c>
      <c r="F25" s="3">
        <f t="shared" si="6"/>
        <v>63</v>
      </c>
      <c r="G25" s="3">
        <f t="shared" si="7"/>
        <v>3969</v>
      </c>
      <c r="H25" s="49">
        <f t="shared" si="8"/>
        <v>0.03</v>
      </c>
    </row>
    <row r="26" spans="1:8" ht="15.6" x14ac:dyDescent="0.3">
      <c r="A26" s="8">
        <v>7</v>
      </c>
      <c r="B26" s="36">
        <v>2001</v>
      </c>
      <c r="D26" s="3">
        <f t="shared" si="4"/>
        <v>2097.3333333333335</v>
      </c>
      <c r="E26" s="3">
        <f t="shared" si="5"/>
        <v>-96.333333333333485</v>
      </c>
      <c r="F26" s="3">
        <f t="shared" si="6"/>
        <v>96.333333333333485</v>
      </c>
      <c r="G26" s="3">
        <f t="shared" si="7"/>
        <v>9280.1111111111404</v>
      </c>
      <c r="H26" s="49">
        <f t="shared" si="8"/>
        <v>4.8142595368982251E-2</v>
      </c>
    </row>
    <row r="27" spans="1:8" ht="15.6" x14ac:dyDescent="0.3">
      <c r="A27" s="8">
        <v>8</v>
      </c>
      <c r="B27" s="36">
        <v>1888</v>
      </c>
      <c r="D27" s="3">
        <f t="shared" si="4"/>
        <v>2090</v>
      </c>
      <c r="E27" s="3">
        <f t="shared" si="5"/>
        <v>-202</v>
      </c>
      <c r="F27" s="3">
        <f t="shared" si="6"/>
        <v>202</v>
      </c>
      <c r="G27" s="3">
        <f t="shared" si="7"/>
        <v>40804</v>
      </c>
      <c r="H27" s="49">
        <f t="shared" si="8"/>
        <v>0.10699152542372882</v>
      </c>
    </row>
    <row r="28" spans="1:8" ht="15.6" x14ac:dyDescent="0.3">
      <c r="A28" s="8">
        <v>9</v>
      </c>
      <c r="B28" s="36">
        <v>1797</v>
      </c>
      <c r="D28" s="3">
        <f t="shared" si="4"/>
        <v>1996.3333333333333</v>
      </c>
      <c r="E28" s="3">
        <f t="shared" si="5"/>
        <v>-199.33333333333326</v>
      </c>
      <c r="F28" s="3">
        <f t="shared" si="6"/>
        <v>199.33333333333326</v>
      </c>
      <c r="G28" s="3">
        <f t="shared" si="7"/>
        <v>39733.777777777745</v>
      </c>
      <c r="H28" s="49">
        <f t="shared" si="8"/>
        <v>0.11092561676868851</v>
      </c>
    </row>
    <row r="29" spans="1:8" ht="15.6" x14ac:dyDescent="0.3">
      <c r="A29" s="8">
        <v>10</v>
      </c>
      <c r="B29" s="36">
        <v>2147</v>
      </c>
      <c r="D29" s="3">
        <f t="shared" si="4"/>
        <v>1895.3333333333333</v>
      </c>
      <c r="E29" s="3">
        <f t="shared" si="5"/>
        <v>251.66666666666674</v>
      </c>
      <c r="F29" s="3">
        <f t="shared" si="6"/>
        <v>251.66666666666674</v>
      </c>
      <c r="G29" s="3">
        <f t="shared" si="7"/>
        <v>63336.111111111146</v>
      </c>
      <c r="H29" s="49">
        <f t="shared" si="8"/>
        <v>0.11721782331936038</v>
      </c>
    </row>
    <row r="30" spans="1:8" ht="15.6" x14ac:dyDescent="0.3">
      <c r="A30" s="8">
        <v>11</v>
      </c>
      <c r="B30" s="36">
        <v>1971</v>
      </c>
      <c r="D30" s="3">
        <f t="shared" si="4"/>
        <v>1944</v>
      </c>
      <c r="E30" s="3">
        <f t="shared" si="5"/>
        <v>27</v>
      </c>
      <c r="F30" s="3">
        <f t="shared" si="6"/>
        <v>27</v>
      </c>
      <c r="G30" s="3">
        <f t="shared" si="7"/>
        <v>729</v>
      </c>
      <c r="H30" s="49">
        <f t="shared" si="8"/>
        <v>1.3698630136986301E-2</v>
      </c>
    </row>
    <row r="31" spans="1:8" ht="15.6" x14ac:dyDescent="0.3">
      <c r="A31" s="8">
        <v>12</v>
      </c>
      <c r="B31" s="36">
        <v>2190</v>
      </c>
      <c r="D31" s="3">
        <f t="shared" si="4"/>
        <v>1971.6666666666667</v>
      </c>
      <c r="E31" s="3">
        <f t="shared" si="5"/>
        <v>218.33333333333326</v>
      </c>
      <c r="F31" s="3">
        <f t="shared" si="6"/>
        <v>218.33333333333326</v>
      </c>
      <c r="G31" s="3">
        <f t="shared" si="7"/>
        <v>47669.444444444409</v>
      </c>
      <c r="H31" s="49">
        <f t="shared" si="8"/>
        <v>9.9695585996955827E-2</v>
      </c>
    </row>
    <row r="34" spans="1:8" ht="20.399999999999999" x14ac:dyDescent="0.35">
      <c r="C34" s="41" t="s">
        <v>36</v>
      </c>
    </row>
    <row r="36" spans="1:8" ht="31.2" x14ac:dyDescent="0.3">
      <c r="A36" s="42" t="s">
        <v>37</v>
      </c>
      <c r="B36" s="42" t="s">
        <v>30</v>
      </c>
      <c r="D36" s="43" t="s">
        <v>31</v>
      </c>
      <c r="E36" s="43" t="s">
        <v>32</v>
      </c>
      <c r="F36" s="43" t="s">
        <v>33</v>
      </c>
      <c r="G36" s="43" t="s">
        <v>34</v>
      </c>
      <c r="H36" s="43" t="s">
        <v>35</v>
      </c>
    </row>
    <row r="37" spans="1:8" ht="15.6" x14ac:dyDescent="0.3">
      <c r="A37" s="8">
        <v>1</v>
      </c>
      <c r="B37" s="36">
        <v>1852</v>
      </c>
      <c r="D37" s="2"/>
      <c r="E37" s="2"/>
      <c r="F37" s="2"/>
      <c r="G37" s="3"/>
      <c r="H37" s="4"/>
    </row>
    <row r="38" spans="1:8" ht="15.6" x14ac:dyDescent="0.3">
      <c r="A38" s="8">
        <v>2</v>
      </c>
      <c r="B38" s="36">
        <v>1880</v>
      </c>
      <c r="D38" s="2"/>
      <c r="E38" s="2"/>
      <c r="F38" s="2"/>
      <c r="G38" s="3"/>
      <c r="H38" s="4"/>
    </row>
    <row r="39" spans="1:8" ht="15.6" x14ac:dyDescent="0.3">
      <c r="A39" s="8">
        <v>3</v>
      </c>
      <c r="B39" s="36">
        <v>1919</v>
      </c>
      <c r="D39" s="2"/>
      <c r="E39" s="2"/>
      <c r="F39" s="2"/>
      <c r="G39" s="3"/>
      <c r="H39" s="4"/>
    </row>
    <row r="40" spans="1:8" ht="15.6" x14ac:dyDescent="0.3">
      <c r="A40" s="8">
        <v>4</v>
      </c>
      <c r="B40" s="36">
        <v>2023</v>
      </c>
      <c r="D40" s="2">
        <f t="shared" ref="D40:D48" si="9">1902.45+(14.2*A40)</f>
        <v>1959.25</v>
      </c>
      <c r="E40" s="2">
        <f t="shared" ref="E40:E48" si="10">B40-D40</f>
        <v>63.75</v>
      </c>
      <c r="F40" s="2">
        <f t="shared" ref="F40:F48" si="11">ABS(E40)</f>
        <v>63.75</v>
      </c>
      <c r="G40" s="3">
        <f t="shared" ref="G40:G48" si="12">E40^2</f>
        <v>4064.0625</v>
      </c>
      <c r="H40" s="4">
        <f t="shared" ref="H40:H48" si="13">F40/B40</f>
        <v>3.1512605042016806E-2</v>
      </c>
    </row>
    <row r="41" spans="1:8" ht="15.6" x14ac:dyDescent="0.3">
      <c r="A41" s="8">
        <v>5</v>
      </c>
      <c r="B41" s="36">
        <v>2169</v>
      </c>
      <c r="D41" s="2">
        <f t="shared" si="9"/>
        <v>1973.45</v>
      </c>
      <c r="E41" s="2">
        <f t="shared" si="10"/>
        <v>195.54999999999995</v>
      </c>
      <c r="F41" s="2">
        <f t="shared" si="11"/>
        <v>195.54999999999995</v>
      </c>
      <c r="G41" s="3">
        <f t="shared" si="12"/>
        <v>38239.802499999983</v>
      </c>
      <c r="H41" s="4">
        <f t="shared" si="13"/>
        <v>9.0156754264638067E-2</v>
      </c>
    </row>
    <row r="42" spans="1:8" ht="15.6" x14ac:dyDescent="0.3">
      <c r="A42" s="8">
        <v>6</v>
      </c>
      <c r="B42" s="36">
        <v>2100</v>
      </c>
      <c r="D42" s="2">
        <f t="shared" si="9"/>
        <v>1987.65</v>
      </c>
      <c r="E42" s="2">
        <f t="shared" si="10"/>
        <v>112.34999999999991</v>
      </c>
      <c r="F42" s="2">
        <f t="shared" si="11"/>
        <v>112.34999999999991</v>
      </c>
      <c r="G42" s="3">
        <f t="shared" si="12"/>
        <v>12622.522499999979</v>
      </c>
      <c r="H42" s="4">
        <f t="shared" si="13"/>
        <v>5.3499999999999957E-2</v>
      </c>
    </row>
    <row r="43" spans="1:8" ht="15.6" x14ac:dyDescent="0.3">
      <c r="A43" s="8">
        <v>7</v>
      </c>
      <c r="B43" s="36">
        <v>2001</v>
      </c>
      <c r="D43" s="2">
        <f t="shared" si="9"/>
        <v>2001.8500000000001</v>
      </c>
      <c r="E43" s="2">
        <f t="shared" si="10"/>
        <v>-0.85000000000013642</v>
      </c>
      <c r="F43" s="2">
        <f t="shared" si="11"/>
        <v>0.85000000000013642</v>
      </c>
      <c r="G43" s="3">
        <f t="shared" si="12"/>
        <v>0.72250000000023196</v>
      </c>
      <c r="H43" s="4">
        <f t="shared" si="13"/>
        <v>4.2478760619696972E-4</v>
      </c>
    </row>
    <row r="44" spans="1:8" ht="15.6" x14ac:dyDescent="0.3">
      <c r="A44" s="8">
        <v>8</v>
      </c>
      <c r="B44" s="36">
        <v>1888</v>
      </c>
      <c r="D44" s="2">
        <f t="shared" si="9"/>
        <v>2016.05</v>
      </c>
      <c r="E44" s="2">
        <f t="shared" si="10"/>
        <v>-128.04999999999995</v>
      </c>
      <c r="F44" s="2">
        <f t="shared" si="11"/>
        <v>128.04999999999995</v>
      </c>
      <c r="G44" s="3">
        <f t="shared" si="12"/>
        <v>16396.802499999987</v>
      </c>
      <c r="H44" s="4">
        <f t="shared" si="13"/>
        <v>6.7823093220338956E-2</v>
      </c>
    </row>
    <row r="45" spans="1:8" ht="15.6" x14ac:dyDescent="0.3">
      <c r="A45" s="8">
        <v>9</v>
      </c>
      <c r="B45" s="36">
        <v>1797</v>
      </c>
      <c r="D45" s="2">
        <f t="shared" si="9"/>
        <v>2030.25</v>
      </c>
      <c r="E45" s="2">
        <f t="shared" si="10"/>
        <v>-233.25</v>
      </c>
      <c r="F45" s="2">
        <f t="shared" si="11"/>
        <v>233.25</v>
      </c>
      <c r="G45" s="3">
        <f t="shared" si="12"/>
        <v>54405.5625</v>
      </c>
      <c r="H45" s="4">
        <f t="shared" si="13"/>
        <v>0.12979966611018365</v>
      </c>
    </row>
    <row r="46" spans="1:8" ht="15.6" x14ac:dyDescent="0.3">
      <c r="A46" s="8">
        <v>10</v>
      </c>
      <c r="B46" s="36">
        <v>2147</v>
      </c>
      <c r="D46" s="2">
        <f t="shared" si="9"/>
        <v>2044.45</v>
      </c>
      <c r="E46" s="2">
        <f t="shared" si="10"/>
        <v>102.54999999999995</v>
      </c>
      <c r="F46" s="2">
        <f t="shared" si="11"/>
        <v>102.54999999999995</v>
      </c>
      <c r="G46" s="3">
        <f t="shared" si="12"/>
        <v>10516.502499999991</v>
      </c>
      <c r="H46" s="4">
        <f t="shared" si="13"/>
        <v>4.7764322310200259E-2</v>
      </c>
    </row>
    <row r="47" spans="1:8" ht="15.6" x14ac:dyDescent="0.3">
      <c r="A47" s="8">
        <v>11</v>
      </c>
      <c r="B47" s="36">
        <v>1971</v>
      </c>
      <c r="D47" s="2">
        <f t="shared" si="9"/>
        <v>2058.65</v>
      </c>
      <c r="E47" s="2">
        <f t="shared" si="10"/>
        <v>-87.650000000000091</v>
      </c>
      <c r="F47" s="2">
        <f t="shared" si="11"/>
        <v>87.650000000000091</v>
      </c>
      <c r="G47" s="3">
        <f t="shared" si="12"/>
        <v>7682.5225000000155</v>
      </c>
      <c r="H47" s="4">
        <f t="shared" si="13"/>
        <v>4.4469812278031505E-2</v>
      </c>
    </row>
    <row r="48" spans="1:8" ht="15.6" x14ac:dyDescent="0.3">
      <c r="A48" s="8">
        <v>12</v>
      </c>
      <c r="B48" s="36">
        <v>2190</v>
      </c>
      <c r="D48" s="2">
        <f t="shared" si="9"/>
        <v>2072.85</v>
      </c>
      <c r="E48" s="2">
        <f t="shared" si="10"/>
        <v>117.15000000000009</v>
      </c>
      <c r="F48" s="2">
        <f t="shared" si="11"/>
        <v>117.15000000000009</v>
      </c>
      <c r="G48" s="3">
        <f t="shared" si="12"/>
        <v>13724.122500000021</v>
      </c>
      <c r="H48" s="4">
        <f t="shared" si="13"/>
        <v>5.3493150684931545E-2</v>
      </c>
    </row>
    <row r="51" spans="1:7" ht="15.6" x14ac:dyDescent="0.3">
      <c r="A51" s="43" t="s">
        <v>37</v>
      </c>
      <c r="B51" s="43" t="s">
        <v>30</v>
      </c>
      <c r="C51" s="43" t="s">
        <v>38</v>
      </c>
      <c r="D51" s="43" t="s">
        <v>39</v>
      </c>
      <c r="F51" s="44" t="s">
        <v>40</v>
      </c>
      <c r="G51" s="12">
        <v>12</v>
      </c>
    </row>
    <row r="52" spans="1:7" ht="15.6" x14ac:dyDescent="0.3">
      <c r="A52" s="11">
        <v>1</v>
      </c>
      <c r="B52" s="36">
        <v>1852</v>
      </c>
      <c r="C52" s="11">
        <f>B52*A52</f>
        <v>1852</v>
      </c>
      <c r="D52" s="11">
        <f>A52^2</f>
        <v>1</v>
      </c>
      <c r="F52" s="45" t="s">
        <v>41</v>
      </c>
      <c r="G52" s="12">
        <f>SUM(A52:A63)</f>
        <v>78</v>
      </c>
    </row>
    <row r="53" spans="1:7" ht="15.6" x14ac:dyDescent="0.3">
      <c r="A53" s="11">
        <v>2</v>
      </c>
      <c r="B53" s="36">
        <v>1880</v>
      </c>
      <c r="C53" s="11">
        <f t="shared" ref="C53:C63" si="14">B53*A53</f>
        <v>3760</v>
      </c>
      <c r="D53" s="11">
        <f t="shared" ref="D53:D63" si="15">A53^2</f>
        <v>4</v>
      </c>
      <c r="F53" s="45" t="s">
        <v>42</v>
      </c>
      <c r="G53" s="12">
        <f>SUM(B52:B63)</f>
        <v>23937</v>
      </c>
    </row>
    <row r="54" spans="1:7" ht="15.6" x14ac:dyDescent="0.3">
      <c r="A54" s="11">
        <v>3</v>
      </c>
      <c r="B54" s="36">
        <v>1919</v>
      </c>
      <c r="C54" s="11">
        <f t="shared" si="14"/>
        <v>5757</v>
      </c>
      <c r="D54" s="11">
        <f t="shared" si="15"/>
        <v>9</v>
      </c>
      <c r="F54" s="45" t="s">
        <v>43</v>
      </c>
      <c r="G54" s="12">
        <f>SUM(C52:C63)</f>
        <v>157621</v>
      </c>
    </row>
    <row r="55" spans="1:7" ht="15.6" x14ac:dyDescent="0.3">
      <c r="A55" s="11">
        <v>4</v>
      </c>
      <c r="B55" s="36">
        <v>2023</v>
      </c>
      <c r="C55" s="11">
        <f t="shared" si="14"/>
        <v>8092</v>
      </c>
      <c r="D55" s="11">
        <f t="shared" si="15"/>
        <v>16</v>
      </c>
      <c r="F55" s="45" t="s">
        <v>44</v>
      </c>
      <c r="G55" s="12">
        <f>SUM(D52:D63)</f>
        <v>650</v>
      </c>
    </row>
    <row r="56" spans="1:7" ht="15.6" x14ac:dyDescent="0.3">
      <c r="A56" s="11">
        <v>5</v>
      </c>
      <c r="B56" s="36">
        <v>2169</v>
      </c>
      <c r="C56" s="11">
        <f t="shared" si="14"/>
        <v>10845</v>
      </c>
      <c r="D56" s="11">
        <f t="shared" si="15"/>
        <v>25</v>
      </c>
      <c r="F56" s="45" t="s">
        <v>45</v>
      </c>
      <c r="G56" s="12">
        <f>G52^2</f>
        <v>6084</v>
      </c>
    </row>
    <row r="57" spans="1:7" ht="15.6" x14ac:dyDescent="0.3">
      <c r="A57" s="11">
        <v>6</v>
      </c>
      <c r="B57" s="36">
        <v>2100</v>
      </c>
      <c r="C57" s="11">
        <f t="shared" si="14"/>
        <v>12600</v>
      </c>
      <c r="D57" s="11">
        <f t="shared" si="15"/>
        <v>36</v>
      </c>
    </row>
    <row r="58" spans="1:7" ht="15.6" x14ac:dyDescent="0.3">
      <c r="A58" s="11">
        <v>7</v>
      </c>
      <c r="B58" s="36">
        <v>2001</v>
      </c>
      <c r="C58" s="11">
        <f t="shared" si="14"/>
        <v>14007</v>
      </c>
      <c r="D58" s="11">
        <f t="shared" si="15"/>
        <v>49</v>
      </c>
    </row>
    <row r="59" spans="1:7" ht="18" x14ac:dyDescent="0.3">
      <c r="A59" s="11">
        <v>8</v>
      </c>
      <c r="B59" s="36">
        <v>1888</v>
      </c>
      <c r="C59" s="11">
        <f t="shared" si="14"/>
        <v>15104</v>
      </c>
      <c r="D59" s="11">
        <f t="shared" si="15"/>
        <v>64</v>
      </c>
      <c r="F59" s="46" t="s">
        <v>46</v>
      </c>
      <c r="G59" s="50">
        <f>((G51*G54)-(G52*G53))/((G51*G55)-(G56))</f>
        <v>14.1993006993007</v>
      </c>
    </row>
    <row r="60" spans="1:7" ht="18" x14ac:dyDescent="0.3">
      <c r="A60" s="11">
        <v>9</v>
      </c>
      <c r="B60" s="36">
        <v>1797</v>
      </c>
      <c r="C60" s="11">
        <f t="shared" si="14"/>
        <v>16173</v>
      </c>
      <c r="D60" s="11">
        <f t="shared" si="15"/>
        <v>81</v>
      </c>
      <c r="F60" s="46" t="s">
        <v>47</v>
      </c>
      <c r="G60" s="50">
        <f>((G53)-(G59*G52))/(G51)</f>
        <v>1902.4545454545453</v>
      </c>
    </row>
    <row r="61" spans="1:7" ht="24.6" x14ac:dyDescent="0.4">
      <c r="A61" s="11">
        <v>10</v>
      </c>
      <c r="B61" s="36">
        <v>2147</v>
      </c>
      <c r="C61" s="11">
        <f t="shared" si="14"/>
        <v>21470</v>
      </c>
      <c r="D61" s="11">
        <f t="shared" si="15"/>
        <v>100</v>
      </c>
      <c r="F61" s="33" t="s">
        <v>52</v>
      </c>
      <c r="G61" s="33" t="s">
        <v>53</v>
      </c>
    </row>
    <row r="62" spans="1:7" ht="15.6" x14ac:dyDescent="0.3">
      <c r="A62" s="11">
        <v>11</v>
      </c>
      <c r="B62" s="36">
        <v>1971</v>
      </c>
      <c r="C62" s="11">
        <f t="shared" si="14"/>
        <v>21681</v>
      </c>
      <c r="D62" s="11">
        <f t="shared" si="15"/>
        <v>121</v>
      </c>
    </row>
    <row r="63" spans="1:7" ht="15.6" x14ac:dyDescent="0.3">
      <c r="A63" s="11">
        <v>12</v>
      </c>
      <c r="B63" s="36">
        <v>2190</v>
      </c>
      <c r="C63" s="11">
        <f t="shared" si="14"/>
        <v>26280</v>
      </c>
      <c r="D63" s="11">
        <f t="shared" si="15"/>
        <v>144</v>
      </c>
    </row>
    <row r="66" spans="1:3" ht="31.2" x14ac:dyDescent="0.3">
      <c r="A66" s="19"/>
      <c r="B66" s="47" t="s">
        <v>50</v>
      </c>
      <c r="C66" s="47" t="s">
        <v>51</v>
      </c>
    </row>
    <row r="67" spans="1:3" ht="15.6" x14ac:dyDescent="0.3">
      <c r="A67" s="48" t="s">
        <v>48</v>
      </c>
      <c r="B67" s="21">
        <f>SUM(F23:F31)/9</f>
        <v>158.37037037037035</v>
      </c>
      <c r="C67" s="21">
        <f>SUM(F40:F48)/9</f>
        <v>115.68333333333334</v>
      </c>
    </row>
    <row r="68" spans="1:3" ht="15.6" x14ac:dyDescent="0.3">
      <c r="A68" s="48" t="s">
        <v>49</v>
      </c>
      <c r="B68" s="21">
        <f>SUM(G23:G31)/8</f>
        <v>34633.916666666657</v>
      </c>
      <c r="C68" s="21">
        <f>SUM(G40:G48)/8</f>
        <v>19706.5778125</v>
      </c>
    </row>
  </sheetData>
  <mergeCells count="1">
    <mergeCell ref="A1:XFD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31BA7-AF36-4A11-A006-24393D5E692E}">
  <dimension ref="A1:U68"/>
  <sheetViews>
    <sheetView tabSelected="1" topLeftCell="C1" zoomScale="70" zoomScaleNormal="70" workbookViewId="0">
      <selection activeCell="A2" sqref="A2:O14"/>
    </sheetView>
  </sheetViews>
  <sheetFormatPr defaultColWidth="8.77734375" defaultRowHeight="14.4" x14ac:dyDescent="0.3"/>
  <cols>
    <col min="1" max="1" width="10.6640625" customWidth="1"/>
    <col min="2" max="2" width="12.6640625" bestFit="1" customWidth="1"/>
    <col min="3" max="3" width="32.109375" bestFit="1" customWidth="1"/>
    <col min="4" max="4" width="19.5546875" bestFit="1" customWidth="1"/>
    <col min="5" max="5" width="21" bestFit="1" customWidth="1"/>
    <col min="6" max="6" width="20.44140625" bestFit="1" customWidth="1"/>
    <col min="7" max="7" width="27.6640625" bestFit="1" customWidth="1"/>
    <col min="8" max="8" width="19" bestFit="1" customWidth="1"/>
    <col min="9" max="9" width="19.5546875" bestFit="1" customWidth="1"/>
    <col min="10" max="10" width="14" bestFit="1" customWidth="1"/>
    <col min="11" max="11" width="15.109375" bestFit="1" customWidth="1"/>
    <col min="12" max="12" width="27.88671875" bestFit="1" customWidth="1"/>
    <col min="13" max="13" width="29" bestFit="1" customWidth="1"/>
    <col min="14" max="14" width="13.44140625" bestFit="1" customWidth="1"/>
    <col min="15" max="15" width="12.33203125" bestFit="1" customWidth="1"/>
    <col min="16" max="16" width="22.6640625" bestFit="1" customWidth="1"/>
    <col min="17" max="17" width="21.21875" bestFit="1" customWidth="1"/>
    <col min="18" max="18" width="23.21875" bestFit="1" customWidth="1"/>
    <col min="19" max="19" width="22.6640625" bestFit="1" customWidth="1"/>
    <col min="20" max="20" width="23.21875" bestFit="1" customWidth="1"/>
    <col min="21" max="21" width="22.6640625" bestFit="1" customWidth="1"/>
  </cols>
  <sheetData>
    <row r="1" spans="1:21" s="70" customFormat="1" ht="26.4" thickBot="1" x14ac:dyDescent="0.55000000000000004">
      <c r="A1" s="68" t="s">
        <v>26</v>
      </c>
      <c r="B1" s="69"/>
      <c r="C1" s="69"/>
      <c r="D1" s="69"/>
      <c r="E1" s="69"/>
      <c r="F1" s="69"/>
      <c r="G1" s="69"/>
      <c r="H1" s="69"/>
      <c r="I1" s="69"/>
      <c r="J1" s="69"/>
      <c r="K1" s="69"/>
      <c r="L1" s="69"/>
      <c r="M1" s="69"/>
      <c r="N1" s="69"/>
      <c r="O1" s="69"/>
    </row>
    <row r="2" spans="1:21" x14ac:dyDescent="0.3">
      <c r="A2" s="37" t="s">
        <v>0</v>
      </c>
      <c r="B2" s="37" t="s">
        <v>1</v>
      </c>
      <c r="C2" s="37" t="s">
        <v>2</v>
      </c>
      <c r="D2" s="37" t="s">
        <v>3</v>
      </c>
      <c r="E2" s="37" t="s">
        <v>9</v>
      </c>
      <c r="F2" s="37" t="s">
        <v>10</v>
      </c>
      <c r="G2" s="37" t="s">
        <v>4</v>
      </c>
      <c r="H2" s="37" t="s">
        <v>5</v>
      </c>
      <c r="I2" s="37" t="s">
        <v>6</v>
      </c>
      <c r="J2" s="37" t="s">
        <v>7</v>
      </c>
      <c r="K2" s="37" t="s">
        <v>8</v>
      </c>
      <c r="L2" s="37" t="s">
        <v>56</v>
      </c>
      <c r="M2" s="37" t="s">
        <v>57</v>
      </c>
      <c r="N2" s="37" t="s">
        <v>58</v>
      </c>
      <c r="O2" s="37" t="s">
        <v>59</v>
      </c>
    </row>
    <row r="3" spans="1:21" x14ac:dyDescent="0.3">
      <c r="A3" s="35" t="s">
        <v>11</v>
      </c>
      <c r="B3" s="35" t="s">
        <v>24</v>
      </c>
      <c r="C3" s="35">
        <v>1470</v>
      </c>
      <c r="D3" s="35">
        <v>1372</v>
      </c>
      <c r="E3" s="35">
        <v>2000</v>
      </c>
      <c r="F3" s="35">
        <v>87</v>
      </c>
      <c r="G3" s="35">
        <v>4.3400000000000001E-2</v>
      </c>
      <c r="H3" s="35">
        <v>1714</v>
      </c>
      <c r="I3" s="35">
        <v>2130</v>
      </c>
      <c r="J3" s="35">
        <v>2.8</v>
      </c>
      <c r="K3" s="35">
        <v>6</v>
      </c>
      <c r="L3" s="55">
        <f>H3/I3</f>
        <v>0.80469483568075117</v>
      </c>
      <c r="M3" s="55">
        <f>$Q$6</f>
        <v>4.5291666666666668E-2</v>
      </c>
      <c r="N3" s="55">
        <f>$R$8</f>
        <v>5.9240913678154421E-2</v>
      </c>
      <c r="O3" s="55">
        <f>$S$8</f>
        <v>3.1342419655178914E-2</v>
      </c>
    </row>
    <row r="4" spans="1:21" x14ac:dyDescent="0.3">
      <c r="A4" s="35" t="s">
        <v>12</v>
      </c>
      <c r="B4" s="35" t="s">
        <v>24</v>
      </c>
      <c r="C4" s="35">
        <v>1835</v>
      </c>
      <c r="D4" s="35">
        <v>1826</v>
      </c>
      <c r="E4" s="35">
        <v>2000</v>
      </c>
      <c r="F4" s="35">
        <v>120</v>
      </c>
      <c r="G4" s="35">
        <v>5.9799999999999999E-2</v>
      </c>
      <c r="H4" s="35">
        <v>1660</v>
      </c>
      <c r="I4" s="35">
        <v>2113</v>
      </c>
      <c r="J4" s="35">
        <v>2.8</v>
      </c>
      <c r="K4" s="35">
        <v>6</v>
      </c>
      <c r="L4" s="55">
        <f t="shared" ref="L4:L14" si="0">H4/I4</f>
        <v>0.78561287269285374</v>
      </c>
      <c r="M4" s="55">
        <f t="shared" ref="M4:M14" si="1">$Q$6</f>
        <v>4.5291666666666668E-2</v>
      </c>
      <c r="N4" s="55">
        <f t="shared" ref="N4:N14" si="2">$R$8</f>
        <v>5.9240913678154421E-2</v>
      </c>
      <c r="O4" s="55">
        <f t="shared" ref="O4:O14" si="3">$S$8</f>
        <v>3.1342419655178914E-2</v>
      </c>
    </row>
    <row r="5" spans="1:21" ht="15.6" x14ac:dyDescent="0.3">
      <c r="A5" s="35" t="s">
        <v>13</v>
      </c>
      <c r="B5" s="35" t="s">
        <v>24</v>
      </c>
      <c r="C5" s="35">
        <v>1895</v>
      </c>
      <c r="D5" s="35">
        <v>1745</v>
      </c>
      <c r="E5" s="35">
        <v>2000</v>
      </c>
      <c r="F5" s="35">
        <v>83</v>
      </c>
      <c r="G5" s="35">
        <v>4.1500000000000002E-2</v>
      </c>
      <c r="H5" s="35">
        <v>1743</v>
      </c>
      <c r="I5" s="35">
        <v>2119</v>
      </c>
      <c r="J5" s="35">
        <v>2.8</v>
      </c>
      <c r="K5" s="35">
        <v>6</v>
      </c>
      <c r="L5" s="55">
        <f t="shared" si="0"/>
        <v>0.82255781028787167</v>
      </c>
      <c r="M5" s="55">
        <f t="shared" si="1"/>
        <v>4.5291666666666668E-2</v>
      </c>
      <c r="N5" s="55">
        <f t="shared" si="2"/>
        <v>5.9240913678154421E-2</v>
      </c>
      <c r="O5" s="55">
        <f t="shared" si="3"/>
        <v>3.1342419655178914E-2</v>
      </c>
      <c r="Q5" s="56" t="s">
        <v>60</v>
      </c>
      <c r="R5" s="56" t="s">
        <v>61</v>
      </c>
      <c r="S5" s="56" t="s">
        <v>62</v>
      </c>
    </row>
    <row r="6" spans="1:21" x14ac:dyDescent="0.3">
      <c r="A6" s="35" t="s">
        <v>14</v>
      </c>
      <c r="B6" s="35" t="s">
        <v>24</v>
      </c>
      <c r="C6" s="35">
        <v>1714</v>
      </c>
      <c r="D6" s="35">
        <v>1859</v>
      </c>
      <c r="E6" s="35">
        <v>2000</v>
      </c>
      <c r="F6" s="35">
        <v>66</v>
      </c>
      <c r="G6" s="35">
        <v>3.2899999999999999E-2</v>
      </c>
      <c r="H6" s="35">
        <v>1839</v>
      </c>
      <c r="I6" s="35">
        <v>1891</v>
      </c>
      <c r="J6" s="35">
        <v>2.8</v>
      </c>
      <c r="K6" s="35">
        <v>6</v>
      </c>
      <c r="L6" s="55">
        <f t="shared" si="0"/>
        <v>0.97250132205182438</v>
      </c>
      <c r="M6" s="55">
        <f t="shared" si="1"/>
        <v>4.5291666666666668E-2</v>
      </c>
      <c r="N6" s="55">
        <f t="shared" si="2"/>
        <v>5.9240913678154421E-2</v>
      </c>
      <c r="O6" s="55">
        <f t="shared" si="3"/>
        <v>3.1342419655178914E-2</v>
      </c>
      <c r="Q6" s="55">
        <f>(SUM(F3:F14))/(12*E3)</f>
        <v>4.5291666666666668E-2</v>
      </c>
      <c r="R6" s="55">
        <f>Q6*(1-Q6)/2000</f>
        <v>2.162016579861111E-5</v>
      </c>
      <c r="S6" s="55">
        <f>Q6*(1-Q6)/2000</f>
        <v>2.162016579861111E-5</v>
      </c>
    </row>
    <row r="7" spans="1:21" x14ac:dyDescent="0.3">
      <c r="A7" s="35" t="s">
        <v>15</v>
      </c>
      <c r="B7" s="35" t="s">
        <v>24</v>
      </c>
      <c r="C7" s="35">
        <v>1503</v>
      </c>
      <c r="D7" s="35">
        <v>1408</v>
      </c>
      <c r="E7" s="35">
        <v>2000</v>
      </c>
      <c r="F7" s="35">
        <v>94</v>
      </c>
      <c r="G7" s="35">
        <v>4.7E-2</v>
      </c>
      <c r="H7" s="35">
        <v>1976</v>
      </c>
      <c r="I7" s="35">
        <v>1990</v>
      </c>
      <c r="J7" s="35">
        <v>2.8</v>
      </c>
      <c r="K7" s="35">
        <v>6</v>
      </c>
      <c r="L7" s="55">
        <f t="shared" si="0"/>
        <v>0.99296482412060305</v>
      </c>
      <c r="M7" s="55">
        <f t="shared" si="1"/>
        <v>4.5291666666666668E-2</v>
      </c>
      <c r="N7" s="55">
        <f t="shared" si="2"/>
        <v>5.9240913678154421E-2</v>
      </c>
      <c r="O7" s="55">
        <f t="shared" si="3"/>
        <v>3.1342419655178914E-2</v>
      </c>
      <c r="Q7" s="55"/>
      <c r="R7" s="55">
        <f>3*SQRT(R6)</f>
        <v>1.3949247011487753E-2</v>
      </c>
      <c r="S7" s="55">
        <f>3*SQRT(S6)</f>
        <v>1.3949247011487753E-2</v>
      </c>
    </row>
    <row r="8" spans="1:21" x14ac:dyDescent="0.3">
      <c r="A8" s="35" t="s">
        <v>16</v>
      </c>
      <c r="B8" s="35" t="s">
        <v>24</v>
      </c>
      <c r="C8" s="35">
        <v>1701</v>
      </c>
      <c r="D8" s="35">
        <v>1690</v>
      </c>
      <c r="E8" s="35">
        <v>2000</v>
      </c>
      <c r="F8" s="35">
        <v>80</v>
      </c>
      <c r="G8" s="35">
        <v>3.9800000000000002E-2</v>
      </c>
      <c r="H8" s="35">
        <v>1707</v>
      </c>
      <c r="I8" s="35">
        <v>2036</v>
      </c>
      <c r="J8" s="35">
        <v>2.8</v>
      </c>
      <c r="K8" s="35">
        <v>6</v>
      </c>
      <c r="L8" s="55">
        <f t="shared" si="0"/>
        <v>0.83840864440078589</v>
      </c>
      <c r="M8" s="55">
        <f t="shared" si="1"/>
        <v>4.5291666666666668E-2</v>
      </c>
      <c r="N8" s="55">
        <f t="shared" si="2"/>
        <v>5.9240913678154421E-2</v>
      </c>
      <c r="O8" s="55">
        <f t="shared" si="3"/>
        <v>3.1342419655178914E-2</v>
      </c>
      <c r="Q8" s="55"/>
      <c r="R8" s="55">
        <f>Q6+R7</f>
        <v>5.9240913678154421E-2</v>
      </c>
      <c r="S8" s="55">
        <f>Q6-S7</f>
        <v>3.1342419655178914E-2</v>
      </c>
    </row>
    <row r="9" spans="1:21" ht="15.6" x14ac:dyDescent="0.3">
      <c r="A9" s="35" t="s">
        <v>17</v>
      </c>
      <c r="B9" s="35" t="s">
        <v>24</v>
      </c>
      <c r="C9" s="35">
        <v>1464</v>
      </c>
      <c r="D9" s="35">
        <v>1564</v>
      </c>
      <c r="E9" s="35">
        <v>2000</v>
      </c>
      <c r="F9" s="35">
        <v>64</v>
      </c>
      <c r="G9" s="35">
        <v>3.2199999999999999E-2</v>
      </c>
      <c r="H9" s="35">
        <v>1826</v>
      </c>
      <c r="I9" s="35">
        <v>1808</v>
      </c>
      <c r="J9" s="35">
        <v>2.8</v>
      </c>
      <c r="K9" s="35">
        <v>6</v>
      </c>
      <c r="L9" s="55">
        <f t="shared" si="0"/>
        <v>1.0099557522123894</v>
      </c>
      <c r="M9" s="55">
        <f t="shared" si="1"/>
        <v>4.5291666666666668E-2</v>
      </c>
      <c r="N9" s="55">
        <f t="shared" si="2"/>
        <v>5.9240913678154421E-2</v>
      </c>
      <c r="O9" s="55">
        <f t="shared" si="3"/>
        <v>3.1342419655178914E-2</v>
      </c>
      <c r="R9" s="64"/>
      <c r="S9" s="64"/>
      <c r="T9" s="64"/>
      <c r="U9" s="64"/>
    </row>
    <row r="10" spans="1:21" x14ac:dyDescent="0.3">
      <c r="A10" s="35" t="s">
        <v>18</v>
      </c>
      <c r="B10" s="35" t="s">
        <v>24</v>
      </c>
      <c r="C10" s="35">
        <v>1828</v>
      </c>
      <c r="D10" s="35">
        <v>1888</v>
      </c>
      <c r="E10" s="35">
        <v>2000</v>
      </c>
      <c r="F10" s="35">
        <v>116</v>
      </c>
      <c r="G10" s="35">
        <v>5.7799999999999997E-2</v>
      </c>
      <c r="H10" s="35">
        <v>1540</v>
      </c>
      <c r="I10" s="35">
        <v>1827</v>
      </c>
      <c r="J10" s="35">
        <v>2.8</v>
      </c>
      <c r="K10" s="35">
        <v>6</v>
      </c>
      <c r="L10" s="55">
        <f t="shared" si="0"/>
        <v>0.84291187739463602</v>
      </c>
      <c r="M10" s="55">
        <f t="shared" si="1"/>
        <v>4.5291666666666668E-2</v>
      </c>
      <c r="N10" s="55">
        <f t="shared" si="2"/>
        <v>5.9240913678154421E-2</v>
      </c>
      <c r="O10" s="55">
        <f t="shared" si="3"/>
        <v>3.1342419655178914E-2</v>
      </c>
    </row>
    <row r="11" spans="1:21" x14ac:dyDescent="0.3">
      <c r="A11" s="35" t="s">
        <v>19</v>
      </c>
      <c r="B11" s="35" t="s">
        <v>24</v>
      </c>
      <c r="C11" s="35">
        <v>1809</v>
      </c>
      <c r="D11" s="35">
        <v>1822</v>
      </c>
      <c r="E11" s="35">
        <v>2000</v>
      </c>
      <c r="F11" s="35">
        <v>113</v>
      </c>
      <c r="G11" s="35">
        <v>5.6599999999999998E-2</v>
      </c>
      <c r="H11" s="35">
        <v>1948</v>
      </c>
      <c r="I11" s="35">
        <v>2026</v>
      </c>
      <c r="J11" s="35">
        <v>2.8</v>
      </c>
      <c r="K11" s="35">
        <v>6</v>
      </c>
      <c r="L11" s="55">
        <f t="shared" si="0"/>
        <v>0.96150049358341561</v>
      </c>
      <c r="M11" s="55">
        <f t="shared" si="1"/>
        <v>4.5291666666666668E-2</v>
      </c>
      <c r="N11" s="55">
        <f t="shared" si="2"/>
        <v>5.9240913678154421E-2</v>
      </c>
      <c r="O11" s="55">
        <f t="shared" si="3"/>
        <v>3.1342419655178914E-2</v>
      </c>
    </row>
    <row r="12" spans="1:21" x14ac:dyDescent="0.3">
      <c r="A12" s="35" t="s">
        <v>20</v>
      </c>
      <c r="B12" s="35" t="s">
        <v>24</v>
      </c>
      <c r="C12" s="35">
        <v>1795</v>
      </c>
      <c r="D12" s="35">
        <v>1636</v>
      </c>
      <c r="E12" s="35">
        <v>2000</v>
      </c>
      <c r="F12" s="35">
        <v>86</v>
      </c>
      <c r="G12" s="35">
        <v>4.3200000000000002E-2</v>
      </c>
      <c r="H12" s="35">
        <v>1678</v>
      </c>
      <c r="I12" s="35">
        <v>1862</v>
      </c>
      <c r="J12" s="35">
        <v>2.8</v>
      </c>
      <c r="K12" s="35">
        <v>6</v>
      </c>
      <c r="L12" s="55">
        <f t="shared" si="0"/>
        <v>0.90118152524167561</v>
      </c>
      <c r="M12" s="55">
        <f t="shared" si="1"/>
        <v>4.5291666666666668E-2</v>
      </c>
      <c r="N12" s="55">
        <f t="shared" si="2"/>
        <v>5.9240913678154421E-2</v>
      </c>
      <c r="O12" s="55">
        <f t="shared" si="3"/>
        <v>3.1342419655178914E-2</v>
      </c>
    </row>
    <row r="13" spans="1:21" x14ac:dyDescent="0.3">
      <c r="A13" s="35" t="s">
        <v>21</v>
      </c>
      <c r="B13" s="35" t="s">
        <v>24</v>
      </c>
      <c r="C13" s="35">
        <v>1485</v>
      </c>
      <c r="D13" s="35">
        <v>1297</v>
      </c>
      <c r="E13" s="35">
        <v>2000</v>
      </c>
      <c r="F13" s="35">
        <v>65</v>
      </c>
      <c r="G13" s="35">
        <v>3.2300000000000002E-2</v>
      </c>
      <c r="H13" s="35">
        <v>1686</v>
      </c>
      <c r="I13" s="35">
        <v>2042</v>
      </c>
      <c r="J13" s="35">
        <v>2.8</v>
      </c>
      <c r="K13" s="35">
        <v>6</v>
      </c>
      <c r="L13" s="55">
        <f t="shared" si="0"/>
        <v>0.8256611165523996</v>
      </c>
      <c r="M13" s="55">
        <f t="shared" si="1"/>
        <v>4.5291666666666668E-2</v>
      </c>
      <c r="N13" s="55">
        <f t="shared" si="2"/>
        <v>5.9240913678154421E-2</v>
      </c>
      <c r="O13" s="55">
        <f t="shared" si="3"/>
        <v>3.1342419655178914E-2</v>
      </c>
    </row>
    <row r="14" spans="1:21" x14ac:dyDescent="0.3">
      <c r="A14" s="35" t="s">
        <v>22</v>
      </c>
      <c r="B14" s="35" t="s">
        <v>24</v>
      </c>
      <c r="C14" s="35">
        <v>1789</v>
      </c>
      <c r="D14" s="35">
        <v>1874</v>
      </c>
      <c r="E14" s="35">
        <v>2000</v>
      </c>
      <c r="F14" s="35">
        <v>113</v>
      </c>
      <c r="G14" s="35">
        <v>5.6500000000000002E-2</v>
      </c>
      <c r="H14" s="35">
        <v>1627</v>
      </c>
      <c r="I14" s="35">
        <v>2147</v>
      </c>
      <c r="J14" s="35">
        <v>2.8</v>
      </c>
      <c r="K14" s="35">
        <v>6</v>
      </c>
      <c r="L14" s="55">
        <f t="shared" si="0"/>
        <v>0.75780158360503025</v>
      </c>
      <c r="M14" s="55">
        <f t="shared" si="1"/>
        <v>4.5291666666666668E-2</v>
      </c>
      <c r="N14" s="55">
        <f t="shared" si="2"/>
        <v>5.9240913678154421E-2</v>
      </c>
      <c r="O14" s="55">
        <f t="shared" si="3"/>
        <v>3.1342419655178914E-2</v>
      </c>
    </row>
    <row r="17" spans="1:8" ht="20.399999999999999" x14ac:dyDescent="0.35">
      <c r="C17" s="26" t="s">
        <v>28</v>
      </c>
      <c r="D17" s="32"/>
    </row>
    <row r="19" spans="1:8" ht="31.2" x14ac:dyDescent="0.3">
      <c r="A19" s="34" t="s">
        <v>37</v>
      </c>
      <c r="B19" s="34" t="s">
        <v>30</v>
      </c>
      <c r="D19" s="25" t="s">
        <v>31</v>
      </c>
      <c r="E19" s="25" t="s">
        <v>32</v>
      </c>
      <c r="F19" s="25" t="s">
        <v>33</v>
      </c>
      <c r="G19" s="25" t="s">
        <v>34</v>
      </c>
      <c r="H19" s="25" t="s">
        <v>35</v>
      </c>
    </row>
    <row r="20" spans="1:8" ht="15.6" x14ac:dyDescent="0.3">
      <c r="A20" s="8">
        <v>1</v>
      </c>
      <c r="B20" s="36">
        <v>1470</v>
      </c>
      <c r="D20" s="2"/>
      <c r="E20" s="2"/>
      <c r="F20" s="2"/>
      <c r="G20" s="2"/>
      <c r="H20" s="2"/>
    </row>
    <row r="21" spans="1:8" ht="15.6" x14ac:dyDescent="0.3">
      <c r="A21" s="8">
        <v>2</v>
      </c>
      <c r="B21" s="36">
        <v>1835</v>
      </c>
      <c r="D21" s="2"/>
      <c r="E21" s="2"/>
      <c r="F21" s="2"/>
      <c r="G21" s="2"/>
      <c r="H21" s="2"/>
    </row>
    <row r="22" spans="1:8" ht="15.6" x14ac:dyDescent="0.3">
      <c r="A22" s="8">
        <v>3</v>
      </c>
      <c r="B22" s="36">
        <v>1895</v>
      </c>
      <c r="D22" s="2"/>
      <c r="E22" s="2"/>
      <c r="F22" s="2"/>
      <c r="G22" s="2"/>
      <c r="H22" s="2"/>
    </row>
    <row r="23" spans="1:8" ht="15.6" x14ac:dyDescent="0.3">
      <c r="A23" s="8">
        <v>4</v>
      </c>
      <c r="B23" s="36">
        <v>1714</v>
      </c>
      <c r="D23" s="3">
        <f>SUM(B20:B22)/3</f>
        <v>1733.3333333333333</v>
      </c>
      <c r="E23" s="3">
        <f>B23-D23</f>
        <v>-19.333333333333258</v>
      </c>
      <c r="F23" s="52">
        <f>ABS(E23)</f>
        <v>19.333333333333258</v>
      </c>
      <c r="G23" s="3">
        <f>E23^2</f>
        <v>373.77777777777487</v>
      </c>
      <c r="H23" s="49">
        <f>(F23/B23)</f>
        <v>1.1279657720731188E-2</v>
      </c>
    </row>
    <row r="24" spans="1:8" ht="15.6" x14ac:dyDescent="0.3">
      <c r="A24" s="8">
        <v>5</v>
      </c>
      <c r="B24" s="36">
        <v>1503</v>
      </c>
      <c r="D24" s="3">
        <f t="shared" ref="D24:D31" si="4">SUM(B21:B23)/3</f>
        <v>1814.6666666666667</v>
      </c>
      <c r="E24" s="3">
        <f t="shared" ref="E24:E31" si="5">B24-D24</f>
        <v>-311.66666666666674</v>
      </c>
      <c r="F24" s="52">
        <f t="shared" ref="F24:F31" si="6">ABS(E24)</f>
        <v>311.66666666666674</v>
      </c>
      <c r="G24" s="3">
        <f t="shared" ref="G24:G31" si="7">E24^2</f>
        <v>97136.111111111153</v>
      </c>
      <c r="H24" s="49">
        <f t="shared" ref="H24:H31" si="8">(F24/B24)</f>
        <v>0.20736305167442898</v>
      </c>
    </row>
    <row r="25" spans="1:8" ht="15.6" x14ac:dyDescent="0.3">
      <c r="A25" s="8">
        <v>6</v>
      </c>
      <c r="B25" s="36">
        <v>1701</v>
      </c>
      <c r="D25" s="3">
        <f t="shared" si="4"/>
        <v>1704</v>
      </c>
      <c r="E25" s="3">
        <f t="shared" si="5"/>
        <v>-3</v>
      </c>
      <c r="F25" s="52">
        <f t="shared" si="6"/>
        <v>3</v>
      </c>
      <c r="G25" s="3">
        <f t="shared" si="7"/>
        <v>9</v>
      </c>
      <c r="H25" s="49">
        <f t="shared" si="8"/>
        <v>1.7636684303350969E-3</v>
      </c>
    </row>
    <row r="26" spans="1:8" ht="15.6" x14ac:dyDescent="0.3">
      <c r="A26" s="8">
        <v>7</v>
      </c>
      <c r="B26" s="36">
        <v>1464</v>
      </c>
      <c r="D26" s="3">
        <f t="shared" si="4"/>
        <v>1639.3333333333333</v>
      </c>
      <c r="E26" s="3">
        <f t="shared" si="5"/>
        <v>-175.33333333333326</v>
      </c>
      <c r="F26" s="52">
        <f t="shared" si="6"/>
        <v>175.33333333333326</v>
      </c>
      <c r="G26" s="3">
        <f t="shared" si="7"/>
        <v>30741.777777777752</v>
      </c>
      <c r="H26" s="49">
        <f t="shared" si="8"/>
        <v>0.11976320582877954</v>
      </c>
    </row>
    <row r="27" spans="1:8" ht="15.6" x14ac:dyDescent="0.3">
      <c r="A27" s="8">
        <v>8</v>
      </c>
      <c r="B27" s="36">
        <v>1828</v>
      </c>
      <c r="D27" s="3">
        <f t="shared" si="4"/>
        <v>1556</v>
      </c>
      <c r="E27" s="3">
        <f t="shared" si="5"/>
        <v>272</v>
      </c>
      <c r="F27" s="52">
        <f t="shared" si="6"/>
        <v>272</v>
      </c>
      <c r="G27" s="3">
        <f t="shared" si="7"/>
        <v>73984</v>
      </c>
      <c r="H27" s="49">
        <f t="shared" si="8"/>
        <v>0.1487964989059081</v>
      </c>
    </row>
    <row r="28" spans="1:8" ht="15.6" x14ac:dyDescent="0.3">
      <c r="A28" s="8">
        <v>9</v>
      </c>
      <c r="B28" s="36">
        <v>1809</v>
      </c>
      <c r="D28" s="3">
        <f t="shared" si="4"/>
        <v>1664.3333333333333</v>
      </c>
      <c r="E28" s="3">
        <f t="shared" si="5"/>
        <v>144.66666666666674</v>
      </c>
      <c r="F28" s="52">
        <f t="shared" si="6"/>
        <v>144.66666666666674</v>
      </c>
      <c r="G28" s="3">
        <f t="shared" si="7"/>
        <v>20928.444444444467</v>
      </c>
      <c r="H28" s="49">
        <f t="shared" si="8"/>
        <v>7.9970517781463094E-2</v>
      </c>
    </row>
    <row r="29" spans="1:8" ht="15.6" x14ac:dyDescent="0.3">
      <c r="A29" s="8">
        <v>10</v>
      </c>
      <c r="B29" s="36">
        <v>1795</v>
      </c>
      <c r="D29" s="3">
        <f t="shared" si="4"/>
        <v>1700.3333333333333</v>
      </c>
      <c r="E29" s="3">
        <f t="shared" si="5"/>
        <v>94.666666666666742</v>
      </c>
      <c r="F29" s="52">
        <f t="shared" si="6"/>
        <v>94.666666666666742</v>
      </c>
      <c r="G29" s="3">
        <f t="shared" si="7"/>
        <v>8961.7777777777919</v>
      </c>
      <c r="H29" s="49">
        <f t="shared" si="8"/>
        <v>5.27390900649954E-2</v>
      </c>
    </row>
    <row r="30" spans="1:8" ht="15.6" x14ac:dyDescent="0.3">
      <c r="A30" s="8">
        <v>11</v>
      </c>
      <c r="B30" s="36">
        <v>1485</v>
      </c>
      <c r="D30" s="3">
        <f t="shared" si="4"/>
        <v>1810.6666666666667</v>
      </c>
      <c r="E30" s="3">
        <f t="shared" si="5"/>
        <v>-325.66666666666674</v>
      </c>
      <c r="F30" s="52">
        <f t="shared" si="6"/>
        <v>325.66666666666674</v>
      </c>
      <c r="G30" s="3">
        <f t="shared" si="7"/>
        <v>106058.77777777782</v>
      </c>
      <c r="H30" s="49">
        <f t="shared" si="8"/>
        <v>0.21930415263748601</v>
      </c>
    </row>
    <row r="31" spans="1:8" ht="15.6" x14ac:dyDescent="0.3">
      <c r="A31" s="8">
        <v>12</v>
      </c>
      <c r="B31" s="36">
        <v>1789</v>
      </c>
      <c r="D31" s="3">
        <f t="shared" si="4"/>
        <v>1696.3333333333333</v>
      </c>
      <c r="E31" s="3">
        <f t="shared" si="5"/>
        <v>92.666666666666742</v>
      </c>
      <c r="F31" s="52">
        <f t="shared" si="6"/>
        <v>92.666666666666742</v>
      </c>
      <c r="G31" s="3">
        <f t="shared" si="7"/>
        <v>8587.1111111111259</v>
      </c>
      <c r="H31" s="49">
        <f t="shared" si="8"/>
        <v>5.1798024967393372E-2</v>
      </c>
    </row>
    <row r="34" spans="1:8" ht="20.399999999999999" x14ac:dyDescent="0.35">
      <c r="C34" s="26" t="s">
        <v>36</v>
      </c>
      <c r="D34" s="32"/>
    </row>
    <row r="36" spans="1:8" ht="31.2" x14ac:dyDescent="0.3">
      <c r="A36" s="34" t="s">
        <v>37</v>
      </c>
      <c r="B36" s="34" t="s">
        <v>30</v>
      </c>
      <c r="D36" s="25" t="s">
        <v>31</v>
      </c>
      <c r="E36" s="25" t="s">
        <v>32</v>
      </c>
      <c r="F36" s="25" t="s">
        <v>33</v>
      </c>
      <c r="G36" s="25" t="s">
        <v>34</v>
      </c>
      <c r="H36" s="25" t="s">
        <v>35</v>
      </c>
    </row>
    <row r="37" spans="1:8" ht="15.6" x14ac:dyDescent="0.3">
      <c r="A37" s="8">
        <v>1</v>
      </c>
      <c r="B37" s="36">
        <v>1470</v>
      </c>
      <c r="D37" s="51">
        <f>$G$60+($G$59*(A37))</f>
        <v>1673.897435897436</v>
      </c>
      <c r="E37" s="51">
        <f>B37-D37</f>
        <v>-203.89743589743603</v>
      </c>
      <c r="F37" s="2">
        <f>ABS(E37)</f>
        <v>203.89743589743603</v>
      </c>
      <c r="G37" s="53">
        <f>E37^2</f>
        <v>41574.164365549033</v>
      </c>
      <c r="H37" s="54">
        <f>F37/B37</f>
        <v>0.1387057387057388</v>
      </c>
    </row>
    <row r="38" spans="1:8" ht="15.6" x14ac:dyDescent="0.3">
      <c r="A38" s="8">
        <v>2</v>
      </c>
      <c r="B38" s="36">
        <v>1835</v>
      </c>
      <c r="D38" s="51">
        <f t="shared" ref="D38:D48" si="9">$G$60+($G$59*(A38))</f>
        <v>1676.9463869463871</v>
      </c>
      <c r="E38" s="51">
        <f t="shared" ref="E38:E48" si="10">B38-D38</f>
        <v>158.05361305361293</v>
      </c>
      <c r="F38" s="2">
        <f t="shared" ref="F38:F48" si="11">ABS(E38)</f>
        <v>158.05361305361293</v>
      </c>
      <c r="G38" s="53">
        <f t="shared" ref="G38:G48" si="12">E38^2</f>
        <v>24980.944599301205</v>
      </c>
      <c r="H38" s="54">
        <f t="shared" ref="H38:H48" si="13">F38/B38</f>
        <v>8.613275915728226E-2</v>
      </c>
    </row>
    <row r="39" spans="1:8" ht="15.6" x14ac:dyDescent="0.3">
      <c r="A39" s="8">
        <v>3</v>
      </c>
      <c r="B39" s="36">
        <v>1895</v>
      </c>
      <c r="D39" s="51">
        <f t="shared" si="9"/>
        <v>1679.9953379953381</v>
      </c>
      <c r="E39" s="51">
        <f t="shared" si="10"/>
        <v>215.0046620046619</v>
      </c>
      <c r="F39" s="2">
        <f t="shared" si="11"/>
        <v>215.0046620046619</v>
      </c>
      <c r="G39" s="53">
        <f t="shared" si="12"/>
        <v>46227.004683738902</v>
      </c>
      <c r="H39" s="54">
        <f t="shared" si="13"/>
        <v>0.11345892454071868</v>
      </c>
    </row>
    <row r="40" spans="1:8" ht="15.6" x14ac:dyDescent="0.3">
      <c r="A40" s="8">
        <v>4</v>
      </c>
      <c r="B40" s="36">
        <v>1714</v>
      </c>
      <c r="D40" s="51">
        <f t="shared" si="9"/>
        <v>1683.0442890442891</v>
      </c>
      <c r="E40" s="51">
        <f t="shared" si="10"/>
        <v>30.955710955710856</v>
      </c>
      <c r="F40" s="2">
        <f t="shared" si="11"/>
        <v>30.955710955710856</v>
      </c>
      <c r="G40" s="53">
        <f t="shared" si="12"/>
        <v>958.25604077351716</v>
      </c>
      <c r="H40" s="54">
        <f t="shared" si="13"/>
        <v>1.8060508142188365E-2</v>
      </c>
    </row>
    <row r="41" spans="1:8" ht="15.6" x14ac:dyDescent="0.3">
      <c r="A41" s="8">
        <v>5</v>
      </c>
      <c r="B41" s="36">
        <v>1503</v>
      </c>
      <c r="D41" s="51">
        <f t="shared" si="9"/>
        <v>1686.0932400932402</v>
      </c>
      <c r="E41" s="51">
        <f t="shared" si="10"/>
        <v>-183.09324009324018</v>
      </c>
      <c r="F41" s="2">
        <f t="shared" si="11"/>
        <v>183.09324009324018</v>
      </c>
      <c r="G41" s="53">
        <f t="shared" si="12"/>
        <v>33523.134567840898</v>
      </c>
      <c r="H41" s="54">
        <f t="shared" si="13"/>
        <v>0.12181852301612786</v>
      </c>
    </row>
    <row r="42" spans="1:8" ht="15.6" x14ac:dyDescent="0.3">
      <c r="A42" s="8">
        <v>6</v>
      </c>
      <c r="B42" s="36">
        <v>1701</v>
      </c>
      <c r="D42" s="51">
        <f t="shared" si="9"/>
        <v>1689.1421911421912</v>
      </c>
      <c r="E42" s="51">
        <f t="shared" si="10"/>
        <v>11.857808857808777</v>
      </c>
      <c r="F42" s="2">
        <f t="shared" si="11"/>
        <v>11.857808857808777</v>
      </c>
      <c r="G42" s="53">
        <f t="shared" si="12"/>
        <v>140.6076309083283</v>
      </c>
      <c r="H42" s="54">
        <f t="shared" si="13"/>
        <v>6.971081045155072E-3</v>
      </c>
    </row>
    <row r="43" spans="1:8" ht="15.6" x14ac:dyDescent="0.3">
      <c r="A43" s="8">
        <v>7</v>
      </c>
      <c r="B43" s="36">
        <v>1464</v>
      </c>
      <c r="D43" s="51">
        <f t="shared" si="9"/>
        <v>1692.1911421911423</v>
      </c>
      <c r="E43" s="51">
        <f t="shared" si="10"/>
        <v>-228.19114219114226</v>
      </c>
      <c r="F43" s="2">
        <f t="shared" si="11"/>
        <v>228.19114219114226</v>
      </c>
      <c r="G43" s="53">
        <f t="shared" si="12"/>
        <v>52071.197374498108</v>
      </c>
      <c r="H43" s="54">
        <f t="shared" si="13"/>
        <v>0.15586826652400429</v>
      </c>
    </row>
    <row r="44" spans="1:8" ht="15.6" x14ac:dyDescent="0.3">
      <c r="A44" s="8">
        <v>8</v>
      </c>
      <c r="B44" s="36">
        <v>1828</v>
      </c>
      <c r="D44" s="51">
        <f t="shared" si="9"/>
        <v>1695.2400932400933</v>
      </c>
      <c r="E44" s="51">
        <f t="shared" si="10"/>
        <v>132.7599067599067</v>
      </c>
      <c r="F44" s="2">
        <f t="shared" si="11"/>
        <v>132.7599067599067</v>
      </c>
      <c r="G44" s="53">
        <f t="shared" si="12"/>
        <v>17625.19284289912</v>
      </c>
      <c r="H44" s="54">
        <f t="shared" si="13"/>
        <v>7.2625769562312203E-2</v>
      </c>
    </row>
    <row r="45" spans="1:8" ht="15.6" x14ac:dyDescent="0.3">
      <c r="A45" s="8">
        <v>9</v>
      </c>
      <c r="B45" s="36">
        <v>1809</v>
      </c>
      <c r="D45" s="51">
        <f t="shared" si="9"/>
        <v>1698.2890442890443</v>
      </c>
      <c r="E45" s="51">
        <f t="shared" si="10"/>
        <v>110.71095571095566</v>
      </c>
      <c r="F45" s="2">
        <f t="shared" si="11"/>
        <v>110.71095571095566</v>
      </c>
      <c r="G45" s="53">
        <f t="shared" si="12"/>
        <v>12256.915714433186</v>
      </c>
      <c r="H45" s="54">
        <f t="shared" si="13"/>
        <v>6.1200086075707941E-2</v>
      </c>
    </row>
    <row r="46" spans="1:8" ht="15.6" x14ac:dyDescent="0.3">
      <c r="A46" s="8">
        <v>10</v>
      </c>
      <c r="B46" s="36">
        <v>1795</v>
      </c>
      <c r="D46" s="51">
        <f t="shared" si="9"/>
        <v>1701.3379953379954</v>
      </c>
      <c r="E46" s="51">
        <f t="shared" si="10"/>
        <v>93.66200466200462</v>
      </c>
      <c r="F46" s="2">
        <f t="shared" si="11"/>
        <v>93.66200466200462</v>
      </c>
      <c r="G46" s="53">
        <f t="shared" si="12"/>
        <v>8772.5711173053751</v>
      </c>
      <c r="H46" s="54">
        <f t="shared" si="13"/>
        <v>5.2179389783846584E-2</v>
      </c>
    </row>
    <row r="47" spans="1:8" ht="15.6" x14ac:dyDescent="0.3">
      <c r="A47" s="8">
        <v>11</v>
      </c>
      <c r="B47" s="36">
        <v>1485</v>
      </c>
      <c r="D47" s="51">
        <f t="shared" si="9"/>
        <v>1704.3869463869464</v>
      </c>
      <c r="E47" s="51">
        <f t="shared" si="10"/>
        <v>-219.38694638694642</v>
      </c>
      <c r="F47" s="2">
        <f t="shared" si="11"/>
        <v>219.38694638694642</v>
      </c>
      <c r="G47" s="53">
        <f t="shared" si="12"/>
        <v>48130.632244988905</v>
      </c>
      <c r="H47" s="54">
        <f t="shared" si="13"/>
        <v>0.14773531743228716</v>
      </c>
    </row>
    <row r="48" spans="1:8" ht="15.6" x14ac:dyDescent="0.3">
      <c r="A48" s="8">
        <v>12</v>
      </c>
      <c r="B48" s="36">
        <v>1789</v>
      </c>
      <c r="D48" s="51">
        <f t="shared" si="9"/>
        <v>1707.4358974358975</v>
      </c>
      <c r="E48" s="51">
        <f t="shared" si="10"/>
        <v>81.564102564102541</v>
      </c>
      <c r="F48" s="2">
        <f t="shared" si="11"/>
        <v>81.564102564102541</v>
      </c>
      <c r="G48" s="53">
        <f t="shared" si="12"/>
        <v>6652.7028270874389</v>
      </c>
      <c r="H48" s="54">
        <f t="shared" si="13"/>
        <v>4.5592008140918135E-2</v>
      </c>
    </row>
    <row r="51" spans="1:7" ht="15.6" x14ac:dyDescent="0.3">
      <c r="A51" s="25" t="s">
        <v>37</v>
      </c>
      <c r="B51" s="25" t="s">
        <v>30</v>
      </c>
      <c r="C51" s="25" t="s">
        <v>38</v>
      </c>
      <c r="D51" s="25" t="s">
        <v>39</v>
      </c>
      <c r="F51" s="27" t="s">
        <v>40</v>
      </c>
      <c r="G51" s="12">
        <v>12</v>
      </c>
    </row>
    <row r="52" spans="1:7" ht="15.6" x14ac:dyDescent="0.3">
      <c r="A52" s="11">
        <v>1</v>
      </c>
      <c r="B52" s="36">
        <v>1470</v>
      </c>
      <c r="C52" s="11">
        <f>(A37*B37)</f>
        <v>1470</v>
      </c>
      <c r="D52" s="11">
        <f>A37^2</f>
        <v>1</v>
      </c>
      <c r="F52" s="28" t="s">
        <v>41</v>
      </c>
      <c r="G52" s="12">
        <f>SUM(A52:A63)</f>
        <v>78</v>
      </c>
    </row>
    <row r="53" spans="1:7" ht="15.6" x14ac:dyDescent="0.3">
      <c r="A53" s="11">
        <v>2</v>
      </c>
      <c r="B53" s="36">
        <v>1835</v>
      </c>
      <c r="C53" s="11">
        <f t="shared" ref="C53:C63" si="14">(A38*B38)</f>
        <v>3670</v>
      </c>
      <c r="D53" s="11">
        <f t="shared" ref="D53:D63" si="15">A38^2</f>
        <v>4</v>
      </c>
      <c r="F53" s="28" t="s">
        <v>42</v>
      </c>
      <c r="G53" s="12">
        <f>SUM(B52:B63)</f>
        <v>20288</v>
      </c>
    </row>
    <row r="54" spans="1:7" ht="15.6" x14ac:dyDescent="0.3">
      <c r="A54" s="11">
        <v>3</v>
      </c>
      <c r="B54" s="36">
        <v>1895</v>
      </c>
      <c r="C54" s="11">
        <f t="shared" si="14"/>
        <v>5685</v>
      </c>
      <c r="D54" s="11">
        <f t="shared" si="15"/>
        <v>9</v>
      </c>
      <c r="F54" s="28" t="s">
        <v>43</v>
      </c>
      <c r="G54" s="12">
        <f>SUM(C52:C63)</f>
        <v>132308</v>
      </c>
    </row>
    <row r="55" spans="1:7" ht="15.6" x14ac:dyDescent="0.3">
      <c r="A55" s="11">
        <v>4</v>
      </c>
      <c r="B55" s="36">
        <v>1714</v>
      </c>
      <c r="C55" s="11">
        <f t="shared" si="14"/>
        <v>6856</v>
      </c>
      <c r="D55" s="11">
        <f t="shared" si="15"/>
        <v>16</v>
      </c>
      <c r="F55" s="28" t="s">
        <v>44</v>
      </c>
      <c r="G55" s="12">
        <f>SUM(D52:D63)</f>
        <v>650</v>
      </c>
    </row>
    <row r="56" spans="1:7" ht="15.6" x14ac:dyDescent="0.3">
      <c r="A56" s="11">
        <v>5</v>
      </c>
      <c r="B56" s="36">
        <v>1503</v>
      </c>
      <c r="C56" s="11">
        <f t="shared" si="14"/>
        <v>7515</v>
      </c>
      <c r="D56" s="11">
        <f t="shared" si="15"/>
        <v>25</v>
      </c>
      <c r="F56" s="28" t="s">
        <v>45</v>
      </c>
      <c r="G56" s="12">
        <f>G52^2</f>
        <v>6084</v>
      </c>
    </row>
    <row r="57" spans="1:7" ht="15.6" x14ac:dyDescent="0.3">
      <c r="A57" s="11">
        <v>6</v>
      </c>
      <c r="B57" s="36">
        <v>1701</v>
      </c>
      <c r="C57" s="11">
        <f t="shared" si="14"/>
        <v>10206</v>
      </c>
      <c r="D57" s="11">
        <f t="shared" si="15"/>
        <v>36</v>
      </c>
    </row>
    <row r="58" spans="1:7" ht="15.6" x14ac:dyDescent="0.3">
      <c r="A58" s="11">
        <v>7</v>
      </c>
      <c r="B58" s="36">
        <v>1464</v>
      </c>
      <c r="C58" s="11">
        <f t="shared" si="14"/>
        <v>10248</v>
      </c>
      <c r="D58" s="11">
        <f t="shared" si="15"/>
        <v>49</v>
      </c>
    </row>
    <row r="59" spans="1:7" ht="18" x14ac:dyDescent="0.3">
      <c r="A59" s="11">
        <v>8</v>
      </c>
      <c r="B59" s="36">
        <v>1828</v>
      </c>
      <c r="C59" s="11">
        <f t="shared" si="14"/>
        <v>14624</v>
      </c>
      <c r="D59" s="11">
        <f t="shared" si="15"/>
        <v>64</v>
      </c>
      <c r="F59" s="29" t="s">
        <v>46</v>
      </c>
      <c r="G59" s="12">
        <f>((G51*G54)-(G52*G53))/((G51*G55)-(G56))</f>
        <v>3.0489510489510487</v>
      </c>
    </row>
    <row r="60" spans="1:7" ht="18" x14ac:dyDescent="0.3">
      <c r="A60" s="11">
        <v>9</v>
      </c>
      <c r="B60" s="36">
        <v>1809</v>
      </c>
      <c r="C60" s="11">
        <f t="shared" si="14"/>
        <v>16281</v>
      </c>
      <c r="D60" s="11">
        <f t="shared" si="15"/>
        <v>81</v>
      </c>
      <c r="F60" s="29" t="s">
        <v>47</v>
      </c>
      <c r="G60" s="12">
        <f>((G53)-(G59*G52))/(G51)</f>
        <v>1670.848484848485</v>
      </c>
    </row>
    <row r="61" spans="1:7" ht="24.6" x14ac:dyDescent="0.4">
      <c r="A61" s="11">
        <v>10</v>
      </c>
      <c r="B61" s="36">
        <v>1795</v>
      </c>
      <c r="C61" s="11">
        <f t="shared" si="14"/>
        <v>17950</v>
      </c>
      <c r="D61" s="11">
        <f t="shared" si="15"/>
        <v>100</v>
      </c>
      <c r="F61" s="33" t="s">
        <v>52</v>
      </c>
      <c r="G61" s="33" t="s">
        <v>54</v>
      </c>
    </row>
    <row r="62" spans="1:7" ht="15.6" x14ac:dyDescent="0.3">
      <c r="A62" s="11">
        <v>11</v>
      </c>
      <c r="B62" s="36">
        <v>1485</v>
      </c>
      <c r="C62" s="11">
        <f t="shared" si="14"/>
        <v>16335</v>
      </c>
      <c r="D62" s="11">
        <f t="shared" si="15"/>
        <v>121</v>
      </c>
    </row>
    <row r="63" spans="1:7" ht="15.6" x14ac:dyDescent="0.3">
      <c r="A63" s="11">
        <v>12</v>
      </c>
      <c r="B63" s="36">
        <v>1789</v>
      </c>
      <c r="C63" s="11">
        <f t="shared" si="14"/>
        <v>21468</v>
      </c>
      <c r="D63" s="11">
        <f t="shared" si="15"/>
        <v>144</v>
      </c>
    </row>
    <row r="66" spans="1:3" ht="31.2" x14ac:dyDescent="0.3">
      <c r="A66" s="19"/>
      <c r="B66" s="30" t="s">
        <v>50</v>
      </c>
      <c r="C66" s="30" t="s">
        <v>51</v>
      </c>
    </row>
    <row r="67" spans="1:3" ht="15.6" x14ac:dyDescent="0.3">
      <c r="A67" s="31" t="s">
        <v>48</v>
      </c>
      <c r="B67" s="21">
        <f>SUM(F23:F31)/9</f>
        <v>159.88888888888891</v>
      </c>
      <c r="C67" s="21">
        <f>SUM(F37:F48)/9</f>
        <v>185.45972545972543</v>
      </c>
    </row>
    <row r="68" spans="1:3" ht="15.6" x14ac:dyDescent="0.3">
      <c r="A68" s="31" t="s">
        <v>49</v>
      </c>
      <c r="B68" s="21">
        <f>SUM(G23:G31)/9</f>
        <v>38531.197530864207</v>
      </c>
      <c r="C68" s="21">
        <f>SUM(G37:G48)/9</f>
        <v>32545.924889924892</v>
      </c>
    </row>
  </sheetData>
  <mergeCells count="1">
    <mergeCell ref="A1:XFD1"/>
  </mergeCells>
  <pageMargins left="0.7" right="0.7" top="0.75" bottom="0.75" header="0.3" footer="0.3"/>
  <ignoredErrors>
    <ignoredError sqref="D29:D31 D23 D24:D28" formulaRange="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B59B3-4002-4F13-95EA-1E1A85FABE40}">
  <dimension ref="A1:U69"/>
  <sheetViews>
    <sheetView topLeftCell="H2" zoomScale="55" zoomScaleNormal="55" workbookViewId="0">
      <selection activeCell="S6" sqref="S6"/>
    </sheetView>
  </sheetViews>
  <sheetFormatPr defaultColWidth="8.77734375" defaultRowHeight="14.4" x14ac:dyDescent="0.3"/>
  <cols>
    <col min="1" max="1" width="7.77734375" bestFit="1" customWidth="1"/>
    <col min="2" max="2" width="9.6640625" bestFit="1" customWidth="1"/>
    <col min="3" max="3" width="21" bestFit="1" customWidth="1"/>
    <col min="4" max="4" width="13.77734375" bestFit="1" customWidth="1"/>
    <col min="5" max="5" width="13.33203125" bestFit="1" customWidth="1"/>
    <col min="6" max="6" width="13" bestFit="1" customWidth="1"/>
    <col min="7" max="7" width="18.44140625" bestFit="1" customWidth="1"/>
    <col min="8" max="8" width="20.109375" bestFit="1" customWidth="1"/>
    <col min="9" max="9" width="12.77734375" bestFit="1" customWidth="1"/>
    <col min="10" max="10" width="9.33203125" bestFit="1" customWidth="1"/>
    <col min="11" max="11" width="9.77734375" bestFit="1" customWidth="1"/>
    <col min="12" max="12" width="18.5546875" bestFit="1" customWidth="1"/>
    <col min="13" max="13" width="12.109375" bestFit="1" customWidth="1"/>
    <col min="19" max="19" width="14.21875" bestFit="1" customWidth="1"/>
    <col min="20" max="20" width="15.5546875" bestFit="1" customWidth="1"/>
    <col min="21" max="21" width="15.33203125" bestFit="1" customWidth="1"/>
  </cols>
  <sheetData>
    <row r="1" spans="1:21" s="73" customFormat="1" ht="26.4" thickBot="1" x14ac:dyDescent="0.55000000000000004">
      <c r="A1" s="71" t="s">
        <v>27</v>
      </c>
      <c r="B1" s="72"/>
      <c r="C1" s="72"/>
      <c r="D1" s="72"/>
      <c r="E1" s="72"/>
      <c r="F1" s="72"/>
      <c r="G1" s="72"/>
      <c r="H1" s="72"/>
      <c r="I1" s="72"/>
      <c r="J1" s="72"/>
      <c r="K1" s="72"/>
      <c r="L1" s="72"/>
      <c r="M1" s="72"/>
      <c r="N1" s="72"/>
      <c r="O1" s="72"/>
    </row>
    <row r="2" spans="1:21" x14ac:dyDescent="0.3">
      <c r="A2" s="37" t="s">
        <v>0</v>
      </c>
      <c r="B2" s="37" t="s">
        <v>1</v>
      </c>
      <c r="C2" s="37" t="s">
        <v>2</v>
      </c>
      <c r="D2" s="37" t="s">
        <v>3</v>
      </c>
      <c r="E2" s="37" t="s">
        <v>9</v>
      </c>
      <c r="F2" s="37" t="s">
        <v>10</v>
      </c>
      <c r="G2" s="37" t="s">
        <v>4</v>
      </c>
      <c r="H2" s="37" t="s">
        <v>5</v>
      </c>
      <c r="I2" s="37" t="s">
        <v>6</v>
      </c>
      <c r="J2" s="37" t="s">
        <v>7</v>
      </c>
      <c r="K2" s="37" t="s">
        <v>8</v>
      </c>
      <c r="L2" s="37" t="s">
        <v>64</v>
      </c>
      <c r="M2" s="37" t="s">
        <v>65</v>
      </c>
      <c r="N2" s="37" t="s">
        <v>58</v>
      </c>
      <c r="O2" s="37" t="s">
        <v>59</v>
      </c>
    </row>
    <row r="3" spans="1:21" x14ac:dyDescent="0.3">
      <c r="A3" s="35" t="s">
        <v>11</v>
      </c>
      <c r="B3" s="35" t="s">
        <v>25</v>
      </c>
      <c r="C3" s="35">
        <v>1508</v>
      </c>
      <c r="D3" s="35">
        <v>1395</v>
      </c>
      <c r="E3" s="35">
        <v>2000</v>
      </c>
      <c r="F3" s="35">
        <v>80</v>
      </c>
      <c r="G3" s="35">
        <v>0.04</v>
      </c>
      <c r="H3" s="35">
        <v>1859</v>
      </c>
      <c r="I3" s="35">
        <v>1951</v>
      </c>
      <c r="J3" s="35">
        <v>2.2000000000000002</v>
      </c>
      <c r="K3" s="35">
        <v>5</v>
      </c>
      <c r="L3" s="60">
        <f>H3/I3</f>
        <v>0.95284469502819069</v>
      </c>
      <c r="M3" s="63">
        <f>$S$6</f>
        <v>4.6666666666666669E-2</v>
      </c>
      <c r="N3" s="63">
        <f>$T$8</f>
        <v>6.0815871591325864E-2</v>
      </c>
      <c r="O3" s="63">
        <f>$U$8</f>
        <v>3.2517461742007474E-2</v>
      </c>
    </row>
    <row r="4" spans="1:21" x14ac:dyDescent="0.3">
      <c r="A4" s="35" t="s">
        <v>12</v>
      </c>
      <c r="B4" s="35" t="s">
        <v>25</v>
      </c>
      <c r="C4" s="35">
        <v>1071</v>
      </c>
      <c r="D4" s="35">
        <v>1123</v>
      </c>
      <c r="E4" s="35">
        <v>2000</v>
      </c>
      <c r="F4" s="35">
        <v>86</v>
      </c>
      <c r="G4" s="35">
        <v>4.2999999999999997E-2</v>
      </c>
      <c r="H4" s="35">
        <v>1548</v>
      </c>
      <c r="I4" s="35">
        <v>1858</v>
      </c>
      <c r="J4" s="35">
        <v>2.2000000000000002</v>
      </c>
      <c r="K4" s="35">
        <v>5</v>
      </c>
      <c r="L4" s="60">
        <f t="shared" ref="L4:L14" si="0">H4/I4</f>
        <v>0.83315392895586649</v>
      </c>
      <c r="M4" s="63">
        <f t="shared" ref="M4:M14" si="1">$S$6</f>
        <v>4.6666666666666669E-2</v>
      </c>
      <c r="N4" s="63">
        <f t="shared" ref="N4:N14" si="2">$T$8</f>
        <v>6.0815871591325864E-2</v>
      </c>
      <c r="O4" s="63">
        <f t="shared" ref="O4:O14" si="3">$U$8</f>
        <v>3.2517461742007474E-2</v>
      </c>
    </row>
    <row r="5" spans="1:21" ht="15.6" x14ac:dyDescent="0.3">
      <c r="A5" s="35" t="s">
        <v>13</v>
      </c>
      <c r="B5" s="35" t="s">
        <v>25</v>
      </c>
      <c r="C5" s="35">
        <v>1180</v>
      </c>
      <c r="D5" s="35">
        <v>1286</v>
      </c>
      <c r="E5" s="35">
        <v>2000</v>
      </c>
      <c r="F5" s="35">
        <v>101</v>
      </c>
      <c r="G5" s="35">
        <v>5.04E-2</v>
      </c>
      <c r="H5" s="35">
        <v>1828</v>
      </c>
      <c r="I5" s="35">
        <v>1966</v>
      </c>
      <c r="J5" s="35">
        <v>2.2000000000000002</v>
      </c>
      <c r="K5" s="35">
        <v>5</v>
      </c>
      <c r="L5" s="60">
        <f t="shared" si="0"/>
        <v>0.92980671414038663</v>
      </c>
      <c r="M5" s="63">
        <f t="shared" si="1"/>
        <v>4.6666666666666669E-2</v>
      </c>
      <c r="N5" s="63">
        <f t="shared" si="2"/>
        <v>6.0815871591325864E-2</v>
      </c>
      <c r="O5" s="63">
        <f t="shared" si="3"/>
        <v>3.2517461742007474E-2</v>
      </c>
      <c r="S5" s="61" t="s">
        <v>60</v>
      </c>
      <c r="T5" s="61" t="s">
        <v>66</v>
      </c>
      <c r="U5" s="61" t="s">
        <v>62</v>
      </c>
    </row>
    <row r="6" spans="1:21" ht="15.6" x14ac:dyDescent="0.3">
      <c r="A6" s="35" t="s">
        <v>14</v>
      </c>
      <c r="B6" s="35" t="s">
        <v>25</v>
      </c>
      <c r="C6" s="35">
        <v>1416</v>
      </c>
      <c r="D6" s="35">
        <v>1479</v>
      </c>
      <c r="E6" s="35">
        <v>2000</v>
      </c>
      <c r="F6" s="35">
        <v>62</v>
      </c>
      <c r="G6" s="35">
        <v>3.1E-2</v>
      </c>
      <c r="H6" s="35">
        <v>1705</v>
      </c>
      <c r="I6" s="35">
        <v>1880</v>
      </c>
      <c r="J6" s="35">
        <v>2.2000000000000002</v>
      </c>
      <c r="K6" s="35">
        <v>5</v>
      </c>
      <c r="L6" s="60">
        <f t="shared" si="0"/>
        <v>0.90691489361702127</v>
      </c>
      <c r="M6" s="63">
        <f t="shared" si="1"/>
        <v>4.6666666666666669E-2</v>
      </c>
      <c r="N6" s="63">
        <f t="shared" si="2"/>
        <v>6.0815871591325864E-2</v>
      </c>
      <c r="O6" s="63">
        <f t="shared" si="3"/>
        <v>3.2517461742007474E-2</v>
      </c>
      <c r="S6" s="62">
        <f>(SUM(F3:F14))/(12*E3)</f>
        <v>4.6666666666666669E-2</v>
      </c>
      <c r="T6" s="62">
        <f>S6*(1-S6)/E3</f>
        <v>2.2244444444444446E-5</v>
      </c>
      <c r="U6" s="62">
        <f>S6*(1-S6)/E3</f>
        <v>2.2244444444444446E-5</v>
      </c>
    </row>
    <row r="7" spans="1:21" x14ac:dyDescent="0.3">
      <c r="A7" s="35" t="s">
        <v>15</v>
      </c>
      <c r="B7" s="35" t="s">
        <v>25</v>
      </c>
      <c r="C7" s="35">
        <v>1451</v>
      </c>
      <c r="D7" s="35">
        <v>1468</v>
      </c>
      <c r="E7" s="35">
        <v>2000</v>
      </c>
      <c r="F7" s="35">
        <v>87</v>
      </c>
      <c r="G7" s="35">
        <v>4.3499999999999997E-2</v>
      </c>
      <c r="H7" s="35">
        <v>1701</v>
      </c>
      <c r="I7" s="35">
        <v>2069</v>
      </c>
      <c r="J7" s="35">
        <v>2.2000000000000002</v>
      </c>
      <c r="K7" s="35">
        <v>5</v>
      </c>
      <c r="L7" s="60">
        <f t="shared" si="0"/>
        <v>0.82213629772837116</v>
      </c>
      <c r="M7" s="63">
        <f t="shared" si="1"/>
        <v>4.6666666666666669E-2</v>
      </c>
      <c r="N7" s="63">
        <f t="shared" si="2"/>
        <v>6.0815871591325864E-2</v>
      </c>
      <c r="O7" s="63">
        <f t="shared" si="3"/>
        <v>3.2517461742007474E-2</v>
      </c>
      <c r="S7" s="55"/>
      <c r="T7" s="55">
        <f>3*SQRT(T6)</f>
        <v>1.4149204924659195E-2</v>
      </c>
      <c r="U7" s="55">
        <f>3*SQRT(U6)</f>
        <v>1.4149204924659195E-2</v>
      </c>
    </row>
    <row r="8" spans="1:21" x14ac:dyDescent="0.3">
      <c r="A8" s="35" t="s">
        <v>16</v>
      </c>
      <c r="B8" s="35" t="s">
        <v>25</v>
      </c>
      <c r="C8" s="35">
        <v>1387</v>
      </c>
      <c r="D8" s="35">
        <v>1553</v>
      </c>
      <c r="E8" s="35">
        <v>2000</v>
      </c>
      <c r="F8" s="35">
        <v>110</v>
      </c>
      <c r="G8" s="35">
        <v>5.4899999999999997E-2</v>
      </c>
      <c r="H8" s="35">
        <v>1909</v>
      </c>
      <c r="I8" s="35">
        <v>2016</v>
      </c>
      <c r="J8" s="35">
        <v>2.2000000000000002</v>
      </c>
      <c r="K8" s="35">
        <v>5</v>
      </c>
      <c r="L8" s="60">
        <f t="shared" si="0"/>
        <v>0.94692460317460314</v>
      </c>
      <c r="M8" s="63">
        <f t="shared" si="1"/>
        <v>4.6666666666666669E-2</v>
      </c>
      <c r="N8" s="63">
        <f t="shared" si="2"/>
        <v>6.0815871591325864E-2</v>
      </c>
      <c r="O8" s="63">
        <f t="shared" si="3"/>
        <v>3.2517461742007474E-2</v>
      </c>
      <c r="S8" s="55"/>
      <c r="T8" s="55">
        <f>S6+T7</f>
        <v>6.0815871591325864E-2</v>
      </c>
      <c r="U8" s="55">
        <f>S6-U7</f>
        <v>3.2517461742007474E-2</v>
      </c>
    </row>
    <row r="9" spans="1:21" x14ac:dyDescent="0.3">
      <c r="A9" s="35" t="s">
        <v>17</v>
      </c>
      <c r="B9" s="35" t="s">
        <v>25</v>
      </c>
      <c r="C9" s="35">
        <v>1393</v>
      </c>
      <c r="D9" s="35">
        <v>1321</v>
      </c>
      <c r="E9" s="35">
        <v>2000</v>
      </c>
      <c r="F9" s="35">
        <v>72</v>
      </c>
      <c r="G9" s="35">
        <v>3.5999999999999997E-2</v>
      </c>
      <c r="H9" s="35">
        <v>1971</v>
      </c>
      <c r="I9" s="35">
        <v>1862</v>
      </c>
      <c r="J9" s="35">
        <v>2.2000000000000002</v>
      </c>
      <c r="K9" s="35">
        <v>5</v>
      </c>
      <c r="L9" s="60">
        <f t="shared" si="0"/>
        <v>1.0585392051557465</v>
      </c>
      <c r="M9" s="63">
        <f t="shared" si="1"/>
        <v>4.6666666666666669E-2</v>
      </c>
      <c r="N9" s="63">
        <f t="shared" si="2"/>
        <v>6.0815871591325864E-2</v>
      </c>
      <c r="O9" s="63">
        <f t="shared" si="3"/>
        <v>3.2517461742007474E-2</v>
      </c>
    </row>
    <row r="10" spans="1:21" x14ac:dyDescent="0.3">
      <c r="A10" s="35" t="s">
        <v>18</v>
      </c>
      <c r="B10" s="35" t="s">
        <v>25</v>
      </c>
      <c r="C10" s="35">
        <v>1184</v>
      </c>
      <c r="D10" s="35">
        <v>1184</v>
      </c>
      <c r="E10" s="35">
        <v>2000</v>
      </c>
      <c r="F10" s="35">
        <v>97</v>
      </c>
      <c r="G10" s="35">
        <v>4.87E-2</v>
      </c>
      <c r="H10" s="35">
        <v>1917</v>
      </c>
      <c r="I10" s="35">
        <v>1832</v>
      </c>
      <c r="J10" s="35">
        <v>2.2000000000000002</v>
      </c>
      <c r="K10" s="35">
        <v>5</v>
      </c>
      <c r="L10" s="60">
        <f t="shared" si="0"/>
        <v>1.0463973799126638</v>
      </c>
      <c r="M10" s="63">
        <f t="shared" si="1"/>
        <v>4.6666666666666669E-2</v>
      </c>
      <c r="N10" s="63">
        <f t="shared" si="2"/>
        <v>6.0815871591325864E-2</v>
      </c>
      <c r="O10" s="63">
        <f t="shared" si="3"/>
        <v>3.2517461742007474E-2</v>
      </c>
    </row>
    <row r="11" spans="1:21" x14ac:dyDescent="0.3">
      <c r="A11" s="35" t="s">
        <v>19</v>
      </c>
      <c r="B11" s="35" t="s">
        <v>25</v>
      </c>
      <c r="C11" s="35">
        <v>1150</v>
      </c>
      <c r="D11" s="35">
        <v>1080</v>
      </c>
      <c r="E11" s="35">
        <v>2000</v>
      </c>
      <c r="F11" s="35">
        <v>106</v>
      </c>
      <c r="G11" s="35">
        <v>5.28E-2</v>
      </c>
      <c r="H11" s="35">
        <v>1717</v>
      </c>
      <c r="I11" s="35">
        <v>2054</v>
      </c>
      <c r="J11" s="35">
        <v>2.2000000000000002</v>
      </c>
      <c r="K11" s="35">
        <v>5</v>
      </c>
      <c r="L11" s="60">
        <f t="shared" si="0"/>
        <v>0.83592989289191821</v>
      </c>
      <c r="M11" s="63">
        <f t="shared" si="1"/>
        <v>4.6666666666666669E-2</v>
      </c>
      <c r="N11" s="63">
        <f t="shared" si="2"/>
        <v>6.0815871591325864E-2</v>
      </c>
      <c r="O11" s="63">
        <f t="shared" si="3"/>
        <v>3.2517461742007474E-2</v>
      </c>
    </row>
    <row r="12" spans="1:21" x14ac:dyDescent="0.3">
      <c r="A12" s="35" t="s">
        <v>20</v>
      </c>
      <c r="B12" s="35" t="s">
        <v>25</v>
      </c>
      <c r="C12" s="35">
        <v>1401</v>
      </c>
      <c r="D12" s="35">
        <v>1431</v>
      </c>
      <c r="E12" s="35">
        <v>2000</v>
      </c>
      <c r="F12" s="35">
        <v>89</v>
      </c>
      <c r="G12" s="35">
        <v>4.4299999999999999E-2</v>
      </c>
      <c r="H12" s="35">
        <v>1595</v>
      </c>
      <c r="I12" s="35">
        <v>2187</v>
      </c>
      <c r="J12" s="35">
        <v>2.2000000000000002</v>
      </c>
      <c r="K12" s="35">
        <v>5</v>
      </c>
      <c r="L12" s="60">
        <f t="shared" si="0"/>
        <v>0.72930955647005025</v>
      </c>
      <c r="M12" s="63">
        <f t="shared" si="1"/>
        <v>4.6666666666666669E-2</v>
      </c>
      <c r="N12" s="63">
        <f t="shared" si="2"/>
        <v>6.0815871591325864E-2</v>
      </c>
      <c r="O12" s="63">
        <f t="shared" si="3"/>
        <v>3.2517461742007474E-2</v>
      </c>
    </row>
    <row r="13" spans="1:21" x14ac:dyDescent="0.3">
      <c r="A13" s="35" t="s">
        <v>21</v>
      </c>
      <c r="B13" s="35" t="s">
        <v>25</v>
      </c>
      <c r="C13" s="35">
        <v>1135</v>
      </c>
      <c r="D13" s="35">
        <v>1218</v>
      </c>
      <c r="E13" s="35">
        <v>2000</v>
      </c>
      <c r="F13" s="35">
        <v>116</v>
      </c>
      <c r="G13" s="35">
        <v>5.79E-2</v>
      </c>
      <c r="H13" s="35">
        <v>1544</v>
      </c>
      <c r="I13" s="35">
        <v>1861</v>
      </c>
      <c r="J13" s="35">
        <v>2.2000000000000002</v>
      </c>
      <c r="K13" s="35">
        <v>5</v>
      </c>
      <c r="L13" s="60">
        <f t="shared" si="0"/>
        <v>0.82966147232670606</v>
      </c>
      <c r="M13" s="63">
        <f t="shared" si="1"/>
        <v>4.6666666666666669E-2</v>
      </c>
      <c r="N13" s="63">
        <f t="shared" si="2"/>
        <v>6.0815871591325864E-2</v>
      </c>
      <c r="O13" s="63">
        <f t="shared" si="3"/>
        <v>3.2517461742007474E-2</v>
      </c>
    </row>
    <row r="14" spans="1:21" x14ac:dyDescent="0.3">
      <c r="A14" s="35" t="s">
        <v>22</v>
      </c>
      <c r="B14" s="35" t="s">
        <v>25</v>
      </c>
      <c r="C14" s="35">
        <v>1522</v>
      </c>
      <c r="D14" s="35">
        <v>1552</v>
      </c>
      <c r="E14" s="35">
        <v>2000</v>
      </c>
      <c r="F14" s="35">
        <v>114</v>
      </c>
      <c r="G14" s="35">
        <v>5.7200000000000001E-2</v>
      </c>
      <c r="H14" s="35">
        <v>1884</v>
      </c>
      <c r="I14" s="35">
        <v>2176</v>
      </c>
      <c r="J14" s="35">
        <v>2.2000000000000002</v>
      </c>
      <c r="K14" s="35">
        <v>5</v>
      </c>
      <c r="L14" s="60">
        <f t="shared" si="0"/>
        <v>0.8658088235294118</v>
      </c>
      <c r="M14" s="63">
        <f t="shared" si="1"/>
        <v>4.6666666666666669E-2</v>
      </c>
      <c r="N14" s="63">
        <f t="shared" si="2"/>
        <v>6.0815871591325864E-2</v>
      </c>
      <c r="O14" s="63">
        <f t="shared" si="3"/>
        <v>3.2517461742007474E-2</v>
      </c>
    </row>
    <row r="17" spans="1:8" s="7" customFormat="1" ht="20.399999999999999" x14ac:dyDescent="0.35">
      <c r="C17" s="10" t="s">
        <v>28</v>
      </c>
      <c r="D17" s="24"/>
    </row>
    <row r="19" spans="1:8" ht="31.2" x14ac:dyDescent="0.3">
      <c r="A19" s="22" t="s">
        <v>37</v>
      </c>
      <c r="B19" s="22" t="s">
        <v>30</v>
      </c>
      <c r="D19" s="5" t="s">
        <v>31</v>
      </c>
      <c r="E19" s="5" t="s">
        <v>32</v>
      </c>
      <c r="F19" s="5" t="s">
        <v>33</v>
      </c>
      <c r="G19" s="5" t="s">
        <v>34</v>
      </c>
      <c r="H19" s="5" t="s">
        <v>35</v>
      </c>
    </row>
    <row r="20" spans="1:8" ht="15.6" x14ac:dyDescent="0.3">
      <c r="A20" s="8">
        <v>1</v>
      </c>
      <c r="B20" s="8">
        <v>1508</v>
      </c>
      <c r="D20" s="2"/>
      <c r="E20" s="2"/>
      <c r="F20" s="2"/>
      <c r="G20" s="2"/>
      <c r="H20" s="2"/>
    </row>
    <row r="21" spans="1:8" ht="15.6" x14ac:dyDescent="0.3">
      <c r="A21" s="8">
        <v>2</v>
      </c>
      <c r="B21" s="8">
        <v>1071</v>
      </c>
      <c r="D21" s="2"/>
      <c r="E21" s="2"/>
      <c r="F21" s="2"/>
      <c r="G21" s="2"/>
      <c r="H21" s="2"/>
    </row>
    <row r="22" spans="1:8" ht="15.6" x14ac:dyDescent="0.3">
      <c r="A22" s="8">
        <v>3</v>
      </c>
      <c r="B22" s="8">
        <v>1180</v>
      </c>
      <c r="D22" s="2"/>
      <c r="E22" s="2"/>
      <c r="F22" s="2"/>
      <c r="G22" s="2"/>
      <c r="H22" s="2"/>
    </row>
    <row r="23" spans="1:8" ht="15.6" x14ac:dyDescent="0.3">
      <c r="A23" s="8">
        <v>4</v>
      </c>
      <c r="B23" s="8">
        <v>1416</v>
      </c>
      <c r="D23" s="3">
        <f>(B22+B21+B20)/3</f>
        <v>1253</v>
      </c>
      <c r="E23" s="3">
        <f>B23-D23</f>
        <v>163</v>
      </c>
      <c r="F23" s="3">
        <f>ABS(E23)</f>
        <v>163</v>
      </c>
      <c r="G23" s="3">
        <f>(E23)^2</f>
        <v>26569</v>
      </c>
      <c r="H23" s="4">
        <f>(F23/B23)</f>
        <v>0.11511299435028248</v>
      </c>
    </row>
    <row r="24" spans="1:8" ht="15.6" x14ac:dyDescent="0.3">
      <c r="A24" s="8">
        <v>5</v>
      </c>
      <c r="B24" s="8">
        <v>1451</v>
      </c>
      <c r="D24" s="3">
        <f t="shared" ref="D24:D31" si="4">(B23+B22+B21)/3</f>
        <v>1222.3333333333333</v>
      </c>
      <c r="E24" s="3">
        <f t="shared" ref="E24:E31" si="5">B24-D24</f>
        <v>228.66666666666674</v>
      </c>
      <c r="F24" s="3">
        <f t="shared" ref="F24:F31" si="6">ABS(E24)</f>
        <v>228.66666666666674</v>
      </c>
      <c r="G24" s="3">
        <f t="shared" ref="G24:G31" si="7">(E24)^2</f>
        <v>52288.444444444482</v>
      </c>
      <c r="H24" s="4">
        <f t="shared" ref="H24:H31" si="8">(F24/B24)</f>
        <v>0.15759246496668969</v>
      </c>
    </row>
    <row r="25" spans="1:8" ht="15.6" x14ac:dyDescent="0.3">
      <c r="A25" s="8">
        <v>6</v>
      </c>
      <c r="B25" s="8">
        <v>1387</v>
      </c>
      <c r="D25" s="3">
        <f t="shared" si="4"/>
        <v>1349</v>
      </c>
      <c r="E25" s="3">
        <f t="shared" si="5"/>
        <v>38</v>
      </c>
      <c r="F25" s="3">
        <f t="shared" si="6"/>
        <v>38</v>
      </c>
      <c r="G25" s="3">
        <f t="shared" si="7"/>
        <v>1444</v>
      </c>
      <c r="H25" s="4">
        <f t="shared" si="8"/>
        <v>2.7397260273972601E-2</v>
      </c>
    </row>
    <row r="26" spans="1:8" ht="15.6" x14ac:dyDescent="0.3">
      <c r="A26" s="8">
        <v>7</v>
      </c>
      <c r="B26" s="8">
        <v>1393</v>
      </c>
      <c r="D26" s="3">
        <f t="shared" si="4"/>
        <v>1418</v>
      </c>
      <c r="E26" s="3">
        <f t="shared" si="5"/>
        <v>-25</v>
      </c>
      <c r="F26" s="3">
        <f t="shared" si="6"/>
        <v>25</v>
      </c>
      <c r="G26" s="3">
        <f t="shared" si="7"/>
        <v>625</v>
      </c>
      <c r="H26" s="4">
        <f t="shared" si="8"/>
        <v>1.7946877243359655E-2</v>
      </c>
    </row>
    <row r="27" spans="1:8" ht="15.6" x14ac:dyDescent="0.3">
      <c r="A27" s="8">
        <v>8</v>
      </c>
      <c r="B27" s="8">
        <v>1184</v>
      </c>
      <c r="D27" s="3">
        <f t="shared" si="4"/>
        <v>1410.3333333333333</v>
      </c>
      <c r="E27" s="3">
        <f t="shared" si="5"/>
        <v>-226.33333333333326</v>
      </c>
      <c r="F27" s="3">
        <f t="shared" si="6"/>
        <v>226.33333333333326</v>
      </c>
      <c r="G27" s="3">
        <f t="shared" si="7"/>
        <v>51226.777777777745</v>
      </c>
      <c r="H27" s="4">
        <f t="shared" si="8"/>
        <v>0.19115990990990986</v>
      </c>
    </row>
    <row r="28" spans="1:8" ht="15.6" x14ac:dyDescent="0.3">
      <c r="A28" s="8">
        <v>9</v>
      </c>
      <c r="B28" s="8">
        <v>1150</v>
      </c>
      <c r="D28" s="3">
        <f t="shared" si="4"/>
        <v>1321.3333333333333</v>
      </c>
      <c r="E28" s="3">
        <f t="shared" si="5"/>
        <v>-171.33333333333326</v>
      </c>
      <c r="F28" s="3">
        <f t="shared" si="6"/>
        <v>171.33333333333326</v>
      </c>
      <c r="G28" s="3">
        <f t="shared" si="7"/>
        <v>29355.111111111084</v>
      </c>
      <c r="H28" s="4">
        <f t="shared" si="8"/>
        <v>0.14898550724637674</v>
      </c>
    </row>
    <row r="29" spans="1:8" ht="15.6" x14ac:dyDescent="0.3">
      <c r="A29" s="8">
        <v>10</v>
      </c>
      <c r="B29" s="8">
        <v>1401</v>
      </c>
      <c r="D29" s="3">
        <f t="shared" si="4"/>
        <v>1242.3333333333333</v>
      </c>
      <c r="E29" s="3">
        <f t="shared" si="5"/>
        <v>158.66666666666674</v>
      </c>
      <c r="F29" s="3">
        <f t="shared" si="6"/>
        <v>158.66666666666674</v>
      </c>
      <c r="G29" s="3">
        <f t="shared" si="7"/>
        <v>25175.111111111135</v>
      </c>
      <c r="H29" s="4">
        <f t="shared" si="8"/>
        <v>0.1132524387342375</v>
      </c>
    </row>
    <row r="30" spans="1:8" ht="15.6" x14ac:dyDescent="0.3">
      <c r="A30" s="8">
        <v>11</v>
      </c>
      <c r="B30" s="8">
        <v>1135</v>
      </c>
      <c r="D30" s="3">
        <f t="shared" si="4"/>
        <v>1245</v>
      </c>
      <c r="E30" s="3">
        <f t="shared" si="5"/>
        <v>-110</v>
      </c>
      <c r="F30" s="3">
        <f t="shared" si="6"/>
        <v>110</v>
      </c>
      <c r="G30" s="3">
        <f t="shared" si="7"/>
        <v>12100</v>
      </c>
      <c r="H30" s="4">
        <f t="shared" si="8"/>
        <v>9.6916299559471369E-2</v>
      </c>
    </row>
    <row r="31" spans="1:8" ht="15.6" x14ac:dyDescent="0.3">
      <c r="A31" s="8">
        <v>12</v>
      </c>
      <c r="B31" s="8">
        <v>1522</v>
      </c>
      <c r="D31" s="3">
        <f t="shared" si="4"/>
        <v>1228.6666666666667</v>
      </c>
      <c r="E31" s="3">
        <f t="shared" si="5"/>
        <v>293.33333333333326</v>
      </c>
      <c r="F31" s="3">
        <f t="shared" si="6"/>
        <v>293.33333333333326</v>
      </c>
      <c r="G31" s="3">
        <f t="shared" si="7"/>
        <v>86044.444444444394</v>
      </c>
      <c r="H31" s="4">
        <f t="shared" si="8"/>
        <v>0.19272886552781424</v>
      </c>
    </row>
    <row r="32" spans="1:8" x14ac:dyDescent="0.3">
      <c r="A32" s="6"/>
      <c r="B32" s="6"/>
    </row>
    <row r="34" spans="1:8" ht="20.399999999999999" x14ac:dyDescent="0.35">
      <c r="C34" s="10" t="s">
        <v>36</v>
      </c>
      <c r="D34" s="24"/>
    </row>
    <row r="36" spans="1:8" ht="31.2" x14ac:dyDescent="0.3">
      <c r="A36" s="9" t="s">
        <v>29</v>
      </c>
      <c r="B36" s="9" t="s">
        <v>30</v>
      </c>
      <c r="D36" s="5" t="s">
        <v>31</v>
      </c>
      <c r="E36" s="5" t="s">
        <v>32</v>
      </c>
      <c r="F36" s="5" t="s">
        <v>33</v>
      </c>
      <c r="G36" s="5" t="s">
        <v>34</v>
      </c>
      <c r="H36" s="5" t="s">
        <v>35</v>
      </c>
    </row>
    <row r="37" spans="1:8" ht="15.6" x14ac:dyDescent="0.3">
      <c r="A37" s="8">
        <v>1</v>
      </c>
      <c r="B37" s="8">
        <v>1508</v>
      </c>
      <c r="D37" s="3"/>
      <c r="E37" s="3"/>
      <c r="F37" s="3"/>
      <c r="G37" s="3"/>
      <c r="H37" s="4"/>
    </row>
    <row r="38" spans="1:8" ht="15.6" x14ac:dyDescent="0.3">
      <c r="A38" s="8">
        <v>2</v>
      </c>
      <c r="B38" s="8">
        <v>1071</v>
      </c>
      <c r="D38" s="3"/>
      <c r="E38" s="3"/>
      <c r="F38" s="3"/>
      <c r="G38" s="3"/>
      <c r="H38" s="4"/>
    </row>
    <row r="39" spans="1:8" ht="15.6" x14ac:dyDescent="0.3">
      <c r="A39" s="8">
        <v>3</v>
      </c>
      <c r="B39" s="8">
        <v>1180</v>
      </c>
      <c r="D39" s="3"/>
      <c r="E39" s="3"/>
      <c r="F39" s="3"/>
      <c r="G39" s="3"/>
      <c r="H39" s="4"/>
    </row>
    <row r="40" spans="1:8" ht="15.6" x14ac:dyDescent="0.3">
      <c r="A40" s="8">
        <v>4</v>
      </c>
      <c r="B40" s="8">
        <v>1416</v>
      </c>
      <c r="D40" s="3">
        <f t="shared" ref="D40:D48" si="9">$G$60+($G$59*(A40))</f>
        <v>1315.1713286713286</v>
      </c>
      <c r="E40" s="3">
        <f t="shared" ref="E40:E48" si="10">B40-D40</f>
        <v>100.82867132867136</v>
      </c>
      <c r="F40" s="3">
        <f t="shared" ref="F40:F48" si="11">ABS(E40)</f>
        <v>100.82867132867136</v>
      </c>
      <c r="G40" s="3">
        <f t="shared" ref="G40:G48" si="12">(E40)^2</f>
        <v>10166.420961905234</v>
      </c>
      <c r="H40" s="4">
        <f t="shared" ref="H40:H48" si="13">F40/B40</f>
        <v>7.1206688791434575E-2</v>
      </c>
    </row>
    <row r="41" spans="1:8" ht="15.6" x14ac:dyDescent="0.3">
      <c r="A41" s="8">
        <v>5</v>
      </c>
      <c r="B41" s="8">
        <v>1451</v>
      </c>
      <c r="D41" s="3">
        <f t="shared" si="9"/>
        <v>1315.7027972027972</v>
      </c>
      <c r="E41" s="3">
        <f t="shared" si="10"/>
        <v>135.29720279720277</v>
      </c>
      <c r="F41" s="3">
        <f t="shared" si="11"/>
        <v>135.29720279720277</v>
      </c>
      <c r="G41" s="3">
        <f t="shared" si="12"/>
        <v>18305.333084747414</v>
      </c>
      <c r="H41" s="4">
        <f t="shared" si="13"/>
        <v>9.3244109439836506E-2</v>
      </c>
    </row>
    <row r="42" spans="1:8" ht="15.6" x14ac:dyDescent="0.3">
      <c r="A42" s="8">
        <v>6</v>
      </c>
      <c r="B42" s="8">
        <v>1387</v>
      </c>
      <c r="D42" s="3">
        <f t="shared" si="9"/>
        <v>1316.2342657342656</v>
      </c>
      <c r="E42" s="3">
        <f t="shared" si="10"/>
        <v>70.765734265734409</v>
      </c>
      <c r="F42" s="3">
        <f t="shared" si="11"/>
        <v>70.765734265734409</v>
      </c>
      <c r="G42" s="3">
        <f t="shared" si="12"/>
        <v>5007.7891461685367</v>
      </c>
      <c r="H42" s="4">
        <f t="shared" si="13"/>
        <v>5.1020716846239662E-2</v>
      </c>
    </row>
    <row r="43" spans="1:8" ht="15.6" x14ac:dyDescent="0.3">
      <c r="A43" s="8">
        <v>7</v>
      </c>
      <c r="B43" s="8">
        <v>1393</v>
      </c>
      <c r="D43" s="3">
        <f t="shared" si="9"/>
        <v>1316.7657342657342</v>
      </c>
      <c r="E43" s="3">
        <f t="shared" si="10"/>
        <v>76.234265734265819</v>
      </c>
      <c r="F43" s="3">
        <f t="shared" si="11"/>
        <v>76.234265734265819</v>
      </c>
      <c r="G43" s="3">
        <f t="shared" si="12"/>
        <v>5811.6632720426551</v>
      </c>
      <c r="H43" s="4">
        <f t="shared" si="13"/>
        <v>5.4726680354821117E-2</v>
      </c>
    </row>
    <row r="44" spans="1:8" ht="15.6" x14ac:dyDescent="0.3">
      <c r="A44" s="8">
        <v>8</v>
      </c>
      <c r="B44" s="8">
        <v>1184</v>
      </c>
      <c r="D44" s="3">
        <f t="shared" si="9"/>
        <v>1317.2972027972028</v>
      </c>
      <c r="E44" s="3">
        <f t="shared" si="10"/>
        <v>-133.29720279720277</v>
      </c>
      <c r="F44" s="3">
        <f t="shared" si="11"/>
        <v>133.29720279720277</v>
      </c>
      <c r="G44" s="3">
        <f t="shared" si="12"/>
        <v>17768.144273558602</v>
      </c>
      <c r="H44" s="4">
        <f t="shared" si="13"/>
        <v>0.11258209695709694</v>
      </c>
    </row>
    <row r="45" spans="1:8" ht="15.6" x14ac:dyDescent="0.3">
      <c r="A45" s="8">
        <v>9</v>
      </c>
      <c r="B45" s="8">
        <v>1150</v>
      </c>
      <c r="D45" s="3">
        <f t="shared" si="9"/>
        <v>1317.8286713286714</v>
      </c>
      <c r="E45" s="3">
        <f t="shared" si="10"/>
        <v>-167.82867132867136</v>
      </c>
      <c r="F45" s="3">
        <f t="shared" si="11"/>
        <v>167.82867132867136</v>
      </c>
      <c r="G45" s="3">
        <f t="shared" si="12"/>
        <v>28166.462919947196</v>
      </c>
      <c r="H45" s="4">
        <f t="shared" si="13"/>
        <v>0.14593797506840989</v>
      </c>
    </row>
    <row r="46" spans="1:8" ht="15.6" x14ac:dyDescent="0.3">
      <c r="A46" s="8">
        <v>10</v>
      </c>
      <c r="B46" s="8">
        <v>1401</v>
      </c>
      <c r="D46" s="3">
        <f t="shared" si="9"/>
        <v>1318.3601398601397</v>
      </c>
      <c r="E46" s="3">
        <f t="shared" si="10"/>
        <v>82.639860139860275</v>
      </c>
      <c r="F46" s="3">
        <f t="shared" si="11"/>
        <v>82.639860139860275</v>
      </c>
      <c r="G46" s="3">
        <f t="shared" si="12"/>
        <v>6829.3464839356675</v>
      </c>
      <c r="H46" s="4">
        <f t="shared" si="13"/>
        <v>5.8986338429593346E-2</v>
      </c>
    </row>
    <row r="47" spans="1:8" ht="15.6" x14ac:dyDescent="0.3">
      <c r="A47" s="8">
        <v>11</v>
      </c>
      <c r="B47" s="8">
        <v>1135</v>
      </c>
      <c r="D47" s="3">
        <f t="shared" si="9"/>
        <v>1318.8916083916083</v>
      </c>
      <c r="E47" s="3">
        <f t="shared" si="10"/>
        <v>-183.89160839160832</v>
      </c>
      <c r="F47" s="3">
        <f t="shared" si="11"/>
        <v>183.89160839160832</v>
      </c>
      <c r="G47" s="3">
        <f t="shared" si="12"/>
        <v>33816.12363685263</v>
      </c>
      <c r="H47" s="4">
        <f t="shared" si="13"/>
        <v>0.16201903823049191</v>
      </c>
    </row>
    <row r="48" spans="1:8" ht="15.6" x14ac:dyDescent="0.3">
      <c r="A48" s="8">
        <v>12</v>
      </c>
      <c r="B48" s="8">
        <v>1522</v>
      </c>
      <c r="D48" s="3">
        <f t="shared" si="9"/>
        <v>1319.4230769230769</v>
      </c>
      <c r="E48" s="3">
        <f t="shared" si="10"/>
        <v>202.57692307692309</v>
      </c>
      <c r="F48" s="3">
        <f t="shared" si="11"/>
        <v>202.57692307692309</v>
      </c>
      <c r="G48" s="3">
        <f t="shared" si="12"/>
        <v>41037.409763313619</v>
      </c>
      <c r="H48" s="4">
        <f t="shared" si="13"/>
        <v>0.13309916102294553</v>
      </c>
    </row>
    <row r="51" spans="1:7" ht="15.6" x14ac:dyDescent="0.3">
      <c r="A51" s="5" t="s">
        <v>37</v>
      </c>
      <c r="B51" s="40" t="s">
        <v>30</v>
      </c>
      <c r="C51" s="5" t="s">
        <v>38</v>
      </c>
      <c r="D51" s="5" t="s">
        <v>39</v>
      </c>
      <c r="F51" s="13" t="s">
        <v>40</v>
      </c>
      <c r="G51" s="12">
        <f>COUNT(A52:A63)</f>
        <v>12</v>
      </c>
    </row>
    <row r="52" spans="1:7" ht="15.6" x14ac:dyDescent="0.3">
      <c r="A52" s="38">
        <v>1</v>
      </c>
      <c r="B52" s="36">
        <v>1508</v>
      </c>
      <c r="C52" s="39">
        <f>A52*B52</f>
        <v>1508</v>
      </c>
      <c r="D52" s="11">
        <f>A52^2</f>
        <v>1</v>
      </c>
      <c r="F52" s="14" t="s">
        <v>41</v>
      </c>
      <c r="G52" s="12">
        <f>SUM(A52:A63)</f>
        <v>78</v>
      </c>
    </row>
    <row r="53" spans="1:7" ht="15.6" x14ac:dyDescent="0.3">
      <c r="A53" s="38">
        <v>2</v>
      </c>
      <c r="B53" s="36">
        <v>1071</v>
      </c>
      <c r="C53" s="39">
        <f t="shared" ref="C53:C63" si="14">A53*B53</f>
        <v>2142</v>
      </c>
      <c r="D53" s="11">
        <f t="shared" ref="D53:D63" si="15">A53^2</f>
        <v>4</v>
      </c>
      <c r="F53" s="14" t="s">
        <v>42</v>
      </c>
      <c r="G53" s="12">
        <f>SUM(B52:B63)</f>
        <v>15798</v>
      </c>
    </row>
    <row r="54" spans="1:7" ht="15.6" x14ac:dyDescent="0.3">
      <c r="A54" s="38">
        <v>3</v>
      </c>
      <c r="B54" s="36">
        <v>1180</v>
      </c>
      <c r="C54" s="39">
        <f t="shared" si="14"/>
        <v>3540</v>
      </c>
      <c r="D54" s="11">
        <f t="shared" si="15"/>
        <v>9</v>
      </c>
      <c r="F54" s="14" t="s">
        <v>43</v>
      </c>
      <c r="G54" s="12">
        <f>SUM(C52:C63)</f>
        <v>102763</v>
      </c>
    </row>
    <row r="55" spans="1:7" ht="15.6" x14ac:dyDescent="0.3">
      <c r="A55" s="38">
        <v>4</v>
      </c>
      <c r="B55" s="36">
        <v>1416</v>
      </c>
      <c r="C55" s="39">
        <f t="shared" si="14"/>
        <v>5664</v>
      </c>
      <c r="D55" s="11">
        <f t="shared" si="15"/>
        <v>16</v>
      </c>
      <c r="F55" s="14" t="s">
        <v>44</v>
      </c>
      <c r="G55" s="12">
        <f>SUM(D52:D63)</f>
        <v>650</v>
      </c>
    </row>
    <row r="56" spans="1:7" ht="15.6" x14ac:dyDescent="0.3">
      <c r="A56" s="38">
        <v>5</v>
      </c>
      <c r="B56" s="36">
        <v>1451</v>
      </c>
      <c r="C56" s="39">
        <f t="shared" si="14"/>
        <v>7255</v>
      </c>
      <c r="D56" s="11">
        <f t="shared" si="15"/>
        <v>25</v>
      </c>
      <c r="F56" s="14" t="s">
        <v>45</v>
      </c>
      <c r="G56" s="12">
        <f>(G52)^2</f>
        <v>6084</v>
      </c>
    </row>
    <row r="57" spans="1:7" ht="15.6" x14ac:dyDescent="0.3">
      <c r="A57" s="38">
        <v>6</v>
      </c>
      <c r="B57" s="36">
        <v>1387</v>
      </c>
      <c r="C57" s="39">
        <f t="shared" si="14"/>
        <v>8322</v>
      </c>
      <c r="D57" s="11">
        <f t="shared" si="15"/>
        <v>36</v>
      </c>
      <c r="F57" s="15"/>
      <c r="G57" s="16"/>
    </row>
    <row r="58" spans="1:7" ht="15.6" x14ac:dyDescent="0.3">
      <c r="A58" s="38">
        <v>7</v>
      </c>
      <c r="B58" s="36">
        <v>1393</v>
      </c>
      <c r="C58" s="39">
        <f t="shared" si="14"/>
        <v>9751</v>
      </c>
      <c r="D58" s="11">
        <f t="shared" si="15"/>
        <v>49</v>
      </c>
    </row>
    <row r="59" spans="1:7" ht="18" x14ac:dyDescent="0.3">
      <c r="A59" s="38">
        <v>8</v>
      </c>
      <c r="B59" s="36">
        <v>1184</v>
      </c>
      <c r="C59" s="39">
        <f t="shared" si="14"/>
        <v>9472</v>
      </c>
      <c r="D59" s="11">
        <f t="shared" si="15"/>
        <v>64</v>
      </c>
      <c r="F59" s="23" t="s">
        <v>46</v>
      </c>
      <c r="G59" s="50">
        <f>((G51*G54)-(G52*G53))/((G51*G55)-(G56))</f>
        <v>0.53146853146853146</v>
      </c>
    </row>
    <row r="60" spans="1:7" ht="18" x14ac:dyDescent="0.3">
      <c r="A60" s="38">
        <v>9</v>
      </c>
      <c r="B60" s="36">
        <v>1150</v>
      </c>
      <c r="C60" s="39">
        <f t="shared" si="14"/>
        <v>10350</v>
      </c>
      <c r="D60" s="11">
        <f t="shared" si="15"/>
        <v>81</v>
      </c>
      <c r="F60" s="23" t="s">
        <v>47</v>
      </c>
      <c r="G60" s="50">
        <f>((G53)-(G59*G52))/(G51)</f>
        <v>1313.0454545454545</v>
      </c>
    </row>
    <row r="61" spans="1:7" ht="24.6" x14ac:dyDescent="0.4">
      <c r="A61" s="38">
        <v>10</v>
      </c>
      <c r="B61" s="36">
        <v>1401</v>
      </c>
      <c r="C61" s="39">
        <f t="shared" si="14"/>
        <v>14010</v>
      </c>
      <c r="D61" s="11">
        <f t="shared" si="15"/>
        <v>100</v>
      </c>
      <c r="F61" s="33" t="s">
        <v>52</v>
      </c>
      <c r="G61" s="33" t="s">
        <v>55</v>
      </c>
    </row>
    <row r="62" spans="1:7" ht="15.6" x14ac:dyDescent="0.3">
      <c r="A62" s="38">
        <v>11</v>
      </c>
      <c r="B62" s="36">
        <v>1135</v>
      </c>
      <c r="C62" s="39">
        <f t="shared" si="14"/>
        <v>12485</v>
      </c>
      <c r="D62" s="11">
        <f t="shared" si="15"/>
        <v>121</v>
      </c>
    </row>
    <row r="63" spans="1:7" ht="15.6" x14ac:dyDescent="0.3">
      <c r="A63" s="38">
        <v>12</v>
      </c>
      <c r="B63" s="36">
        <v>1522</v>
      </c>
      <c r="C63" s="39">
        <f t="shared" si="14"/>
        <v>18264</v>
      </c>
      <c r="D63" s="11">
        <f t="shared" si="15"/>
        <v>144</v>
      </c>
    </row>
    <row r="66" spans="1:3" ht="31.2" x14ac:dyDescent="0.3">
      <c r="A66" s="19"/>
      <c r="B66" s="18" t="s">
        <v>50</v>
      </c>
      <c r="C66" s="18" t="s">
        <v>51</v>
      </c>
    </row>
    <row r="67" spans="1:3" ht="15.6" x14ac:dyDescent="0.3">
      <c r="A67" s="20" t="s">
        <v>48</v>
      </c>
      <c r="B67" s="21">
        <f>SUM(F23:F31)/9</f>
        <v>157.14814814814815</v>
      </c>
      <c r="C67" s="21">
        <f>SUM(F37:F48)/9</f>
        <v>128.15112665112667</v>
      </c>
    </row>
    <row r="68" spans="1:3" ht="15.6" x14ac:dyDescent="0.3">
      <c r="A68" s="20" t="s">
        <v>49</v>
      </c>
      <c r="B68" s="21">
        <f>SUM(G23:G31)/8</f>
        <v>35603.486111111102</v>
      </c>
      <c r="C68" s="21">
        <f>SUM(G37:G48)/8</f>
        <v>20863.586692808945</v>
      </c>
    </row>
    <row r="69" spans="1:3" x14ac:dyDescent="0.3">
      <c r="A69" s="16"/>
      <c r="B69" s="17"/>
      <c r="C69" s="17"/>
    </row>
  </sheetData>
  <mergeCells count="1">
    <mergeCell ref="A1:XFD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GreenBean</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Anwar</dc:creator>
  <cp:lastModifiedBy>Salma Ahmed</cp:lastModifiedBy>
  <dcterms:created xsi:type="dcterms:W3CDTF">2025-11-04T09:19:50Z</dcterms:created>
  <dcterms:modified xsi:type="dcterms:W3CDTF">2025-11-24T21:59:55Z</dcterms:modified>
</cp:coreProperties>
</file>